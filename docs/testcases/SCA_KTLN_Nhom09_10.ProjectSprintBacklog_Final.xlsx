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hao\G9\docs\testcases\"/>
    </mc:Choice>
  </mc:AlternateContent>
  <xr:revisionPtr revIDLastSave="0" documentId="13_ncr:1_{810212D1-52D9-419D-BDD7-7A1D50572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9" i="3" l="1"/>
  <c r="AC108" i="3"/>
  <c r="AD99" i="2"/>
  <c r="AD98" i="2"/>
</calcChain>
</file>

<file path=xl/sharedStrings.xml><?xml version="1.0" encoding="utf-8"?>
<sst xmlns="http://schemas.openxmlformats.org/spreadsheetml/2006/main" count="562" uniqueCount="266">
  <si>
    <t>Project name:</t>
  </si>
  <si>
    <t>XÂY DỰNG HỆ THỐNG SMARTTRAVEL HỖ TRỢ LẬP KẾ HOẠCH DU LỊCH THÔNG MINH VÀ ĐẶT TOUR TÍCH HỢP AI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</si>
  <si>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</si>
  <si>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</si>
  <si>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</si>
  <si>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</si>
  <si>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</si>
  <si>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</si>
  <si>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</si>
  <si>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</si>
  <si>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</si>
  <si>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</si>
  <si>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</si>
  <si>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</si>
  <si>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Tính</t>
  </si>
  <si>
    <t>Thành</t>
  </si>
  <si>
    <t>Bảo</t>
  </si>
  <si>
    <t>Trí</t>
  </si>
  <si>
    <t>Ngọc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</si>
  <si>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</si>
  <si>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</si>
  <si>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</si>
  <si>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</si>
  <si>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</si>
  <si>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</si>
  <si>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</si>
  <si>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</si>
  <si>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Ngọc, Bảo</t>
  </si>
  <si>
    <t>Tạo tài liệu kiểm thử cho Sprint</t>
  </si>
  <si>
    <t>Trí, Ngọc</t>
  </si>
  <si>
    <t>User interface design</t>
  </si>
  <si>
    <t>Giao diện đăng nhập</t>
  </si>
  <si>
    <t>Giao diện đăng ký tài khoản</t>
  </si>
  <si>
    <t>Giao diện xác thực email otp</t>
  </si>
  <si>
    <t>Giao diện quên mật khẩu và xác thực otp đặt lại</t>
  </si>
  <si>
    <t>Giao diện đặt lại mật khẩu</t>
  </si>
  <si>
    <t>Giao diện đăng ký provider</t>
  </si>
  <si>
    <t>Giao diện xét duyệt provider</t>
  </si>
  <si>
    <t>Giao diện lịch sử duyệt provider</t>
  </si>
  <si>
    <t>Review all user interfaces of sprint 1</t>
  </si>
  <si>
    <t>Design test case</t>
  </si>
  <si>
    <t>Thiết kế trường kiểm thử cho đăng nhập</t>
  </si>
  <si>
    <t>Thiết kế trường kiểm thử cho đăng ký tài khoản</t>
  </si>
  <si>
    <t>Thiết kế trường kiểm thử cho xác thực email otp</t>
  </si>
  <si>
    <t>Thiết kế trường kiểm thử cho quên mật khẩu và xác thực otp đặt lại</t>
  </si>
  <si>
    <t>Thiết kế trường kiểm thử cho đặt lại mật khẩu</t>
  </si>
  <si>
    <t>Thiết kế trường kiểm thử cho đăng ký provider</t>
  </si>
  <si>
    <t>Thiết kế trường kiểm thử cho xét duyệt provider</t>
  </si>
  <si>
    <t>Thiết kế trường kiểm thử cho lịch sử duyệt provider</t>
  </si>
  <si>
    <t>Review all test case of sprint 1</t>
  </si>
  <si>
    <t>Coding</t>
  </si>
  <si>
    <t>Thiết kế front-end cho đăng nhập</t>
  </si>
  <si>
    <t>Code back-end cho đăng nhập</t>
  </si>
  <si>
    <t>Thiết kế front-end cho đăng ký tài khoản</t>
  </si>
  <si>
    <t>Code back-end cho đăng ký tài khoản</t>
  </si>
  <si>
    <t>Thiết kế front-end cho xác thực email otp</t>
  </si>
  <si>
    <t>Code back-end cho xác thực email otp</t>
  </si>
  <si>
    <t>Thiết kế front-end cho quên mật khẩu và xác thực otp đặt lại</t>
  </si>
  <si>
    <t>Code back-end cho quên mật khẩu và xác thực otp đặt lại</t>
  </si>
  <si>
    <t>Thiết kế front-end cho đặt lại mật khẩu</t>
  </si>
  <si>
    <t>Code back-end cho đặt lại mật khẩu</t>
  </si>
  <si>
    <t>Thiết kế front-end cho đăng ký provider</t>
  </si>
  <si>
    <t>Code back-end cho đăng ký provider</t>
  </si>
  <si>
    <t>Thiết kế front-end cho xét duyệt provider</t>
  </si>
  <si>
    <t>Code back-end cho xét duyệt provider</t>
  </si>
  <si>
    <t>Thiết kế front-end cho lịch sử duyệt provider</t>
  </si>
  <si>
    <t>Code back-end cho lịch sử duyệt provider</t>
  </si>
  <si>
    <t>Integrate code</t>
  </si>
  <si>
    <t>Tính, Thành, Bảo, Trí, Ngọc</t>
  </si>
  <si>
    <t>Testing</t>
  </si>
  <si>
    <t>Kiểm tra đăng nhập</t>
  </si>
  <si>
    <t>Kiểm tra đăng ký tài khoản</t>
  </si>
  <si>
    <t>Kiểm tra xác thực email otp</t>
  </si>
  <si>
    <t>Kiểm tra quên mật khẩu và xác thực otp đặt lại</t>
  </si>
  <si>
    <t>Kiểm tra đặt lại mật khẩu</t>
  </si>
  <si>
    <t>Kiểm tra đăng ký provider</t>
  </si>
  <si>
    <t>Kiểm tra xét duyệt provider</t>
  </si>
  <si>
    <t>Kiểm tra lịch sử duyệt provider</t>
  </si>
  <si>
    <t>Fix Bug</t>
  </si>
  <si>
    <t>Sửa lỗi đăng nhập</t>
  </si>
  <si>
    <t>Tính, Thành</t>
  </si>
  <si>
    <t>Sửa lỗi đăng ký tài khoản</t>
  </si>
  <si>
    <t>Bảo, Thành</t>
  </si>
  <si>
    <t>Sửa lỗi xác thực email otp</t>
  </si>
  <si>
    <t>Sửa lỗi quên mật khẩu và xác thực otp đặt lại</t>
  </si>
  <si>
    <t>Sửa lỗi đặt lại mật khẩu</t>
  </si>
  <si>
    <t>Thành, Tính</t>
  </si>
  <si>
    <t>Sửa lỗi đăng ký provider</t>
  </si>
  <si>
    <t>Sửa lỗi xét duyệt provider</t>
  </si>
  <si>
    <t>Thành, Trí</t>
  </si>
  <si>
    <t>Sửa lỗi lịch sử duyệt provider</t>
  </si>
  <si>
    <t>Ngọc, Trí</t>
  </si>
  <si>
    <t>Re-testing</t>
  </si>
  <si>
    <t>Kiểm tra lại đăng nhập</t>
  </si>
  <si>
    <t>Kiểm tra lại đăng ký tài khoản</t>
  </si>
  <si>
    <t>Kiểm tra lại xác thực email otp</t>
  </si>
  <si>
    <t>Kiểm tra lại quên mật khẩu và xác thực otp đặt lại</t>
  </si>
  <si>
    <t>Kiểm tra lại đặt lại mật khẩu</t>
  </si>
  <si>
    <t>Kiểm tra lại đăng ký provider</t>
  </si>
  <si>
    <t>Kiểm tra lại xét duyệt provider</t>
  </si>
  <si>
    <t>Kiểm tra lại lịch sử duyệt provider</t>
  </si>
  <si>
    <t>Release Sprint 1</t>
  </si>
  <si>
    <t>Sprint 1 review meeting</t>
  </si>
  <si>
    <t>Sprint 1 retrospective</t>
  </si>
  <si>
    <t>Kết thúc</t>
  </si>
  <si>
    <t>Sprint 2</t>
  </si>
  <si>
    <t>Tăng ca</t>
  </si>
  <si>
    <t>Chậm tiến độ</t>
  </si>
  <si>
    <t>SPRINT 2 REPORT</t>
  </si>
  <si>
    <t>Tạo Sprint Backlog 2</t>
  </si>
  <si>
    <t>Giao diện dashboard khách du lịch</t>
  </si>
  <si>
    <t>Giao diện danh sách và chi tiết tour công khai</t>
  </si>
  <si>
    <t>Giao diện ai travel planner</t>
  </si>
  <si>
    <t>Giao diện lịch sử ai travel planner</t>
  </si>
  <si>
    <t>Giao diện booking của traveler</t>
  </si>
  <si>
    <t>Giao diện dashboard provider</t>
  </si>
  <si>
    <t>Giao diện quản lý tour và lịch khởi hành</t>
  </si>
  <si>
    <t>Giao diện quản lý service và guide</t>
  </si>
  <si>
    <t>Giao diện booking của provider</t>
  </si>
  <si>
    <t>Review all user interfaces of sprint 2</t>
  </si>
  <si>
    <t>Thiết kế trường kiểm thử cho dashboard khách du lịch</t>
  </si>
  <si>
    <t>Thiết kế trường kiểm thử cho danh sách và chi tiết tour công khai</t>
  </si>
  <si>
    <t>Thiết kế trường kiểm thử cho ai travel planner</t>
  </si>
  <si>
    <t>Thiết kế trường kiểm thử cho lịch sử ai travel planner</t>
  </si>
  <si>
    <t>Thiết kế trường kiểm thử cho booking của traveler</t>
  </si>
  <si>
    <t>Thiết kế trường kiểm thử cho dashboard provider</t>
  </si>
  <si>
    <t>Thiết kế trường kiểm thử cho quản lý tour và lịch khởi hành</t>
  </si>
  <si>
    <t>Thiết kế trường kiểm thử cho quản lý service và guide</t>
  </si>
  <si>
    <t>Thiết kế trường kiểm thử cho booking của provider</t>
  </si>
  <si>
    <t>Review all test case of sprint 2</t>
  </si>
  <si>
    <t>Thiết kế front-end cho dashboard khách du lịch</t>
  </si>
  <si>
    <t>Code back-end cho dashboard khách du lịch</t>
  </si>
  <si>
    <t>Thiết kế front-end cho danh sách và chi tiết tour công khai</t>
  </si>
  <si>
    <t>Code back-end cho danh sách và chi tiết tour công khai</t>
  </si>
  <si>
    <t>Thiết kế front-end cho ai travel planner</t>
  </si>
  <si>
    <t>Code back-end cho ai travel planner</t>
  </si>
  <si>
    <t>Thiết kế front-end cho lịch sử ai travel planner</t>
  </si>
  <si>
    <t>Code back-end cho lịch sử ai travel planner</t>
  </si>
  <si>
    <t>Thiết kế front-end cho booking của traveler</t>
  </si>
  <si>
    <t>Code back-end cho booking của traveler</t>
  </si>
  <si>
    <t>Thiết kế front-end cho dashboard provider</t>
  </si>
  <si>
    <t>Code back-end cho dashboard provider</t>
  </si>
  <si>
    <t>Thiết kế front-end cho quản lý tour và lịch khởi hành</t>
  </si>
  <si>
    <t>Code back-end cho quản lý tour và lịch khởi hành</t>
  </si>
  <si>
    <t>Thiết kế front-end cho quản lý service và guide</t>
  </si>
  <si>
    <t>Code back-end cho quản lý service và guide</t>
  </si>
  <si>
    <t>Thiết kế front-end cho booking của provider</t>
  </si>
  <si>
    <t>Code back-end cho booking của provider</t>
  </si>
  <si>
    <t>Kiểm tra dashboard khách du lịch</t>
  </si>
  <si>
    <t>Kiểm tra danh sách và chi tiết tour công khai</t>
  </si>
  <si>
    <t>Kiểm tra ai travel planner</t>
  </si>
  <si>
    <t>Kiểm tra lịch sử ai travel planner</t>
  </si>
  <si>
    <t>Kiểm tra booking của traveler</t>
  </si>
  <si>
    <t>Kiểm tra dashboard provider</t>
  </si>
  <si>
    <t>Kiểm tra quản lý tour và lịch khởi hành</t>
  </si>
  <si>
    <t>Kiểm tra quản lý service và guide</t>
  </si>
  <si>
    <t>Kiểm tra booking của provider</t>
  </si>
  <si>
    <t>Sửa lỗi dashboard khách du lịch</t>
  </si>
  <si>
    <t>Ngọc, Tính</t>
  </si>
  <si>
    <t>Sửa lỗi danh sách và chi tiết tour công khai</t>
  </si>
  <si>
    <t>Tính, Bảo</t>
  </si>
  <si>
    <t>Sửa lỗi ai travel planner</t>
  </si>
  <si>
    <t>Sửa lỗi lịch sử ai travel planner</t>
  </si>
  <si>
    <t>Sửa lỗi booking của traveler</t>
  </si>
  <si>
    <t>Trí, Tính</t>
  </si>
  <si>
    <t>Sửa lỗi dashboard provider</t>
  </si>
  <si>
    <t>Ngọc, Thành</t>
  </si>
  <si>
    <t>Sửa lỗi quản lý tour và lịch khởi hành</t>
  </si>
  <si>
    <t>Tính, Trí</t>
  </si>
  <si>
    <t>Sửa lỗi quản lý service và guide</t>
  </si>
  <si>
    <t>Sửa lỗi booking của provider</t>
  </si>
  <si>
    <t>Kiểm tra lại dashboard khách du lịch</t>
  </si>
  <si>
    <t>Kiểm tra lại danh sách và chi tiết tour công khai</t>
  </si>
  <si>
    <t>Kiểm tra lại ai travel planner</t>
  </si>
  <si>
    <t>Kiểm tra lại lịch sử ai travel planner</t>
  </si>
  <si>
    <t>Kiểm tra lại booking của traveler</t>
  </si>
  <si>
    <t>Kiểm tra lại dashboard provider</t>
  </si>
  <si>
    <t>Kiểm tra lại quản lý tour và lịch khởi hành</t>
  </si>
  <si>
    <t>Kiểm tra lại quản lý service và guide</t>
  </si>
  <si>
    <t>Kiểm tra lại booking của provider</t>
  </si>
  <si>
    <t>Release Sprint 2</t>
  </si>
  <si>
    <t>Sprint 2 review meeting</t>
  </si>
  <si>
    <t>Sprint 2 retrospective</t>
  </si>
  <si>
    <t>Sprint 3</t>
  </si>
  <si>
    <t>S</t>
  </si>
  <si>
    <t>SPRINT 3 REPORT</t>
  </si>
  <si>
    <t>Tạo Sprint Backlog 3</t>
  </si>
  <si>
    <t>Giao diện thông báo ai tour request</t>
  </si>
  <si>
    <t>Giao diện tạo tracking link</t>
  </si>
  <si>
    <t>Giao diện tracking của traveler</t>
  </si>
  <si>
    <t>Giao diện tracking công khai và booking success</t>
  </si>
  <si>
    <t>Giao diện live tour tracking</t>
  </si>
  <si>
    <t>Giao diện tour được phân công</t>
  </si>
  <si>
    <t>Giao diện đánh giá tour và guide</t>
  </si>
  <si>
    <t>Giao diện dashboard và phân tích admin</t>
  </si>
  <si>
    <t>Giao diện phân tích provider</t>
  </si>
  <si>
    <t>Giao diện header, thông báo, tìm kiếm và chat ai</t>
  </si>
  <si>
    <t>Review all user interfaces of sprint 3</t>
  </si>
  <si>
    <t>Thiết kế trường kiểm thử cho thông báo ai tour request</t>
  </si>
  <si>
    <t>Thiết kế trường kiểm thử cho tạo tracking link</t>
  </si>
  <si>
    <t>Thiết kế trường kiểm thử cho tracking của traveler</t>
  </si>
  <si>
    <t>Thiết kế trường kiểm thử cho tracking công khai và booking success</t>
  </si>
  <si>
    <t>Thiết kế trường kiểm thử cho live tour tracking</t>
  </si>
  <si>
    <t>Thiết kế trường kiểm thử cho tour được phân công</t>
  </si>
  <si>
    <t>Thiết kế trường kiểm thử cho đánh giá tour và guide</t>
  </si>
  <si>
    <t>Thiết kế trường kiểm thử cho dashboard và phân tích admin</t>
  </si>
  <si>
    <t>Thiết kế trường kiểm thử cho phân tích provider</t>
  </si>
  <si>
    <t>Thiết kế trường kiểm thử cho header, thông báo, tìm kiếm và chat ai</t>
  </si>
  <si>
    <t>Review all test case of sprint 3</t>
  </si>
  <si>
    <t>Thiết kế front-end cho thông báo ai tour request</t>
  </si>
  <si>
    <t>Code back-end cho thông báo ai tour request</t>
  </si>
  <si>
    <t>Thiết kế front-end cho tạo tracking link</t>
  </si>
  <si>
    <t>Code back-end cho tạo tracking link</t>
  </si>
  <si>
    <t>Thiết kế front-end cho tracking của traveler</t>
  </si>
  <si>
    <t>Code back-end cho tracking của traveler</t>
  </si>
  <si>
    <t>Thiết kế front-end cho tracking công khai và booking success</t>
  </si>
  <si>
    <t>Code back-end cho tracking công khai và booking success</t>
  </si>
  <si>
    <t>Thiết kế front-end cho live tour tracking</t>
  </si>
  <si>
    <t>Code back-end cho live tour tracking</t>
  </si>
  <si>
    <t>Thiết kế front-end cho tour được phân công</t>
  </si>
  <si>
    <t>Code back-end cho tour được phân công</t>
  </si>
  <si>
    <t>Thiết kế front-end cho đánh giá tour và guide</t>
  </si>
  <si>
    <t>Code back-end cho đánh giá tour và guide</t>
  </si>
  <si>
    <t>Thiết kế front-end cho dashboard và phân tích admin</t>
  </si>
  <si>
    <t>Code back-end cho dashboard và phân tích admin</t>
  </si>
  <si>
    <t>Thiết kế front-end cho phân tích provider</t>
  </si>
  <si>
    <t>Code back-end cho phân tích provider</t>
  </si>
  <si>
    <t>Thiết kế front-end cho header, thông báo, tìm kiếm và chat ai</t>
  </si>
  <si>
    <t>Code back-end cho header, thông báo, tìm kiếm và chat ai</t>
  </si>
  <si>
    <t>Kiểm tra thông báo ai tour request</t>
  </si>
  <si>
    <t>Kiểm tra tạo tracking link</t>
  </si>
  <si>
    <t>Kiểm tra tracking của traveler</t>
  </si>
  <si>
    <t>Kiểm tra tracking công khai và booking success</t>
  </si>
  <si>
    <t>Kiểm tra live tour tracking</t>
  </si>
  <si>
    <t>Kiểm tra tour được phân công</t>
  </si>
  <si>
    <t>Kiểm tra đánh giá tour và guide</t>
  </si>
  <si>
    <t>Kiểm tra dashboard và phân tích admin</t>
  </si>
  <si>
    <t>Kiểm tra phân tích provider</t>
  </si>
  <si>
    <t>Kiểm tra header, thông báo, tìm kiếm và chat ai</t>
  </si>
  <si>
    <t>Sửa lỗi thông báo ai tour request</t>
  </si>
  <si>
    <t>Sửa lỗi tạo tracking link</t>
  </si>
  <si>
    <t>Sửa lỗi tracking của traveler</t>
  </si>
  <si>
    <t>Sửa lỗi tracking công khai và booking success</t>
  </si>
  <si>
    <t>Tính, Ngọc</t>
  </si>
  <si>
    <t>Sửa lỗi live tour tracking</t>
  </si>
  <si>
    <t>Sửa lỗi tour được phân công</t>
  </si>
  <si>
    <t>Sửa lỗi đánh giá tour và guide</t>
  </si>
  <si>
    <t>Sửa lỗi dashboard và phân tích admin</t>
  </si>
  <si>
    <t>Sửa lỗi phân tích provider</t>
  </si>
  <si>
    <t>Sửa lỗi header, thông báo, tìm kiếm và chat ai</t>
  </si>
  <si>
    <t>Thành, Bảo</t>
  </si>
  <si>
    <t>Kiểm tra lại thông báo ai tour request</t>
  </si>
  <si>
    <t>Kiểm tra lại tạo tracking link</t>
  </si>
  <si>
    <t>Kiểm tra lại tracking của traveler</t>
  </si>
  <si>
    <t>Kiểm tra lại tracking công khai và booking success</t>
  </si>
  <si>
    <t>Kiểm tra lại live tour tracking</t>
  </si>
  <si>
    <t>Kiểm tra lại tour được phân công</t>
  </si>
  <si>
    <t>Kiểm tra lại đánh giá tour và guide</t>
  </si>
  <si>
    <t>Kiểm tra lại dashboard và phân tích admin</t>
  </si>
  <si>
    <t>Kiểm tra lại phân tích provider</t>
  </si>
  <si>
    <t>Kiểm tra lại header, thông báo, tìm kiếm và chat ai</t>
  </si>
  <si>
    <t>Release Sprint 3</t>
  </si>
  <si>
    <t>Sprint 3 review meeting</t>
  </si>
  <si>
    <t>Sprint 3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</si>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</sst>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1" fillId="0" borderId="1" xfId="0" applyFont="1" applyBorder="1" applyAlignment="1">
      <alignment horizontal="center"/>
    </xf>
    <xf numFmtId="0" fontId="0" fillId="0" borderId="13" xfId="0" applyBorder="1"/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3" xfId="0" applyBorder="1"/>
    <xf numFmtId="0" fontId="1" fillId="0" borderId="1" xfId="0" applyFont="1" applyBorder="1"/>
    <xf numFmtId="0" fontId="0" fillId="0" borderId="22" xfId="0" applyBorder="1"/>
    <xf numFmtId="0" fontId="2" fillId="0" borderId="1" xfId="0" applyFont="1" applyBorder="1" applyAlignment="1">
      <alignment horizontal="center"/>
    </xf>
    <xf numFmtId="0" fontId="0" fillId="0" borderId="23" xfId="0" applyBorder="1"/>
    <xf numFmtId="0" fontId="2" fillId="0" borderId="2" xfId="0" applyFont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6" borderId="2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/>
    </xf>
    <xf numFmtId="0" fontId="0" fillId="0" borderId="24" xfId="0" applyBorder="1"/>
    <xf numFmtId="0" fontId="1" fillId="10" borderId="6" xfId="0" applyFont="1" applyFill="1" applyBorder="1" applyAlignment="1">
      <alignment horizontal="center"/>
    </xf>
    <xf numFmtId="0" fontId="0" fillId="0" borderId="26" xfId="0" applyBorder="1"/>
    <xf numFmtId="0" fontId="2" fillId="10" borderId="2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1'!$I$15:$V$15</c:f>
              <c:numCache>
                <c:formatCode>dd/mm</c:formatCode>
                <c:ptCount val="14"/>
                <c:pt idx="0">
                  <c:v>46099</c:v>
                </c:pt>
                <c:pt idx="1">
                  <c:v>46100</c:v>
                </c:pt>
                <c:pt idx="2">
                  <c:v>46101</c:v>
                </c:pt>
                <c:pt idx="3">
                  <c:v>46102</c:v>
                </c:pt>
                <c:pt idx="4">
                  <c:v>46103</c:v>
                </c:pt>
                <c:pt idx="5">
                  <c:v>46104</c:v>
                </c:pt>
                <c:pt idx="6">
                  <c:v>46105</c:v>
                </c:pt>
                <c:pt idx="7">
                  <c:v>46106</c:v>
                </c:pt>
                <c:pt idx="8">
                  <c:v>46107</c:v>
                </c:pt>
                <c:pt idx="9">
                  <c:v>46108</c:v>
                </c:pt>
                <c:pt idx="10">
                  <c:v>46109</c:v>
                </c:pt>
                <c:pt idx="11">
                  <c:v>46110</c:v>
                </c:pt>
                <c:pt idx="12">
                  <c:v>46111</c:v>
                </c:pt>
                <c:pt idx="13">
                  <c:v>46112</c:v>
                </c:pt>
              </c:numCache>
            </c:numRef>
          </c:cat>
          <c:val>
            <c:numRef>
              <c:f>'Sprint 1'!$I$89:$V$89</c:f>
              <c:numCache>
                <c:formatCode>General</c:formatCode>
                <c:ptCount val="14"/>
                <c:pt idx="0">
                  <c:v>146</c:v>
                </c:pt>
                <c:pt idx="1">
                  <c:v>128</c:v>
                </c:pt>
                <c:pt idx="2">
                  <c:v>120</c:v>
                </c:pt>
                <c:pt idx="3">
                  <c:v>108</c:v>
                </c:pt>
                <c:pt idx="4">
                  <c:v>103</c:v>
                </c:pt>
                <c:pt idx="5">
                  <c:v>90</c:v>
                </c:pt>
                <c:pt idx="6">
                  <c:v>78</c:v>
                </c:pt>
                <c:pt idx="7">
                  <c:v>62</c:v>
                </c:pt>
                <c:pt idx="8">
                  <c:v>50</c:v>
                </c:pt>
                <c:pt idx="9">
                  <c:v>34</c:v>
                </c:pt>
                <c:pt idx="10">
                  <c:v>27</c:v>
                </c:pt>
                <c:pt idx="11">
                  <c:v>22</c:v>
                </c:pt>
                <c:pt idx="12">
                  <c:v>17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F-459F-B4BC-EF900E3410E3}"/>
            </c:ext>
          </c:extLst>
        </c:ser>
        <c:ser>
          <c:idx val="1"/>
          <c:order val="1"/>
          <c:tx>
            <c:v>Ước tính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1'!$I$15:$V$15</c:f>
              <c:numCache>
                <c:formatCode>dd/mm</c:formatCode>
                <c:ptCount val="14"/>
                <c:pt idx="0">
                  <c:v>46099</c:v>
                </c:pt>
                <c:pt idx="1">
                  <c:v>46100</c:v>
                </c:pt>
                <c:pt idx="2">
                  <c:v>46101</c:v>
                </c:pt>
                <c:pt idx="3">
                  <c:v>46102</c:v>
                </c:pt>
                <c:pt idx="4">
                  <c:v>46103</c:v>
                </c:pt>
                <c:pt idx="5">
                  <c:v>46104</c:v>
                </c:pt>
                <c:pt idx="6">
                  <c:v>46105</c:v>
                </c:pt>
                <c:pt idx="7">
                  <c:v>46106</c:v>
                </c:pt>
                <c:pt idx="8">
                  <c:v>46107</c:v>
                </c:pt>
                <c:pt idx="9">
                  <c:v>46108</c:v>
                </c:pt>
                <c:pt idx="10">
                  <c:v>46109</c:v>
                </c:pt>
                <c:pt idx="11">
                  <c:v>46110</c:v>
                </c:pt>
                <c:pt idx="12">
                  <c:v>46111</c:v>
                </c:pt>
                <c:pt idx="13">
                  <c:v>46112</c:v>
                </c:pt>
              </c:numCache>
            </c:numRef>
          </c:cat>
          <c:val>
            <c:numRef>
              <c:f>'Sprint 1'!$I$90:$V$90</c:f>
              <c:numCache>
                <c:formatCode>General</c:formatCode>
                <c:ptCount val="14"/>
                <c:pt idx="0">
                  <c:v>149</c:v>
                </c:pt>
                <c:pt idx="1">
                  <c:v>131</c:v>
                </c:pt>
                <c:pt idx="2">
                  <c:v>123</c:v>
                </c:pt>
                <c:pt idx="3">
                  <c:v>110</c:v>
                </c:pt>
                <c:pt idx="4">
                  <c:v>105</c:v>
                </c:pt>
                <c:pt idx="5">
                  <c:v>91</c:v>
                </c:pt>
                <c:pt idx="6">
                  <c:v>79</c:v>
                </c:pt>
                <c:pt idx="7">
                  <c:v>63</c:v>
                </c:pt>
                <c:pt idx="8">
                  <c:v>50</c:v>
                </c:pt>
                <c:pt idx="9">
                  <c:v>34</c:v>
                </c:pt>
                <c:pt idx="10">
                  <c:v>27</c:v>
                </c:pt>
                <c:pt idx="11">
                  <c:v>22</c:v>
                </c:pt>
                <c:pt idx="12">
                  <c:v>17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F-459F-B4BC-EF900E34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'Sprint 1'!$G$89:$V$89</c:f>
              <c:numCache>
                <c:formatCode>General</c:formatCode>
                <c:ptCount val="16"/>
                <c:pt idx="0">
                  <c:v>146</c:v>
                </c:pt>
                <c:pt idx="2">
                  <c:v>146</c:v>
                </c:pt>
                <c:pt idx="3">
                  <c:v>128</c:v>
                </c:pt>
                <c:pt idx="4">
                  <c:v>120</c:v>
                </c:pt>
                <c:pt idx="5">
                  <c:v>108</c:v>
                </c:pt>
                <c:pt idx="6">
                  <c:v>103</c:v>
                </c:pt>
                <c:pt idx="7">
                  <c:v>90</c:v>
                </c:pt>
                <c:pt idx="8">
                  <c:v>78</c:v>
                </c:pt>
                <c:pt idx="9">
                  <c:v>62</c:v>
                </c:pt>
                <c:pt idx="10">
                  <c:v>50</c:v>
                </c:pt>
                <c:pt idx="11">
                  <c:v>34</c:v>
                </c:pt>
                <c:pt idx="12">
                  <c:v>27</c:v>
                </c:pt>
                <c:pt idx="13">
                  <c:v>22</c:v>
                </c:pt>
                <c:pt idx="14">
                  <c:v>17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9-486E-89A9-DB7B8F3745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val>
            <c:numRef>
              <c:f>'Sprint 1'!$G$90:$V$90</c:f>
              <c:numCache>
                <c:formatCode>General</c:formatCode>
                <c:ptCount val="16"/>
                <c:pt idx="0">
                  <c:v>149</c:v>
                </c:pt>
                <c:pt idx="2">
                  <c:v>149</c:v>
                </c:pt>
                <c:pt idx="3">
                  <c:v>131</c:v>
                </c:pt>
                <c:pt idx="4">
                  <c:v>123</c:v>
                </c:pt>
                <c:pt idx="5">
                  <c:v>110</c:v>
                </c:pt>
                <c:pt idx="6">
                  <c:v>105</c:v>
                </c:pt>
                <c:pt idx="7">
                  <c:v>91</c:v>
                </c:pt>
                <c:pt idx="8">
                  <c:v>79</c:v>
                </c:pt>
                <c:pt idx="9">
                  <c:v>63</c:v>
                </c:pt>
                <c:pt idx="10">
                  <c:v>50</c:v>
                </c:pt>
                <c:pt idx="11">
                  <c:v>34</c:v>
                </c:pt>
                <c:pt idx="12">
                  <c:v>27</c:v>
                </c:pt>
                <c:pt idx="13">
                  <c:v>22</c:v>
                </c:pt>
                <c:pt idx="14">
                  <c:v>17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9-486E-89A9-DB7B8F374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46131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  <c:pt idx="0">
                  <c:v>181</c:v>
                </c:pt>
                <c:pt idx="1">
                  <c:v>167</c:v>
                </c:pt>
                <c:pt idx="2">
                  <c:v>162</c:v>
                </c:pt>
                <c:pt idx="3">
                  <c:v>154</c:v>
                </c:pt>
                <c:pt idx="4">
                  <c:v>140</c:v>
                </c:pt>
                <c:pt idx="5">
                  <c:v>137</c:v>
                </c:pt>
                <c:pt idx="6">
                  <c:v>129</c:v>
                </c:pt>
                <c:pt idx="7">
                  <c:v>117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87</c:v>
                </c:pt>
                <c:pt idx="12">
                  <c:v>63</c:v>
                </c:pt>
                <c:pt idx="13">
                  <c:v>48</c:v>
                </c:pt>
                <c:pt idx="14">
                  <c:v>43</c:v>
                </c:pt>
                <c:pt idx="15">
                  <c:v>36</c:v>
                </c:pt>
                <c:pt idx="16">
                  <c:v>31</c:v>
                </c:pt>
                <c:pt idx="17">
                  <c:v>26</c:v>
                </c:pt>
                <c:pt idx="18">
                  <c:v>20</c:v>
                </c:pt>
                <c:pt idx="19">
                  <c:v>17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8-4D73-85F0-1B75F6673A14}"/>
            </c:ext>
          </c:extLst>
        </c:ser>
        <c:ser>
          <c:idx val="1"/>
          <c:order val="1"/>
          <c:tx>
            <c:v>Ước Tính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46131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  <c:pt idx="0">
                  <c:v>184</c:v>
                </c:pt>
                <c:pt idx="1">
                  <c:v>170</c:v>
                </c:pt>
                <c:pt idx="2">
                  <c:v>161</c:v>
                </c:pt>
                <c:pt idx="3">
                  <c:v>158</c:v>
                </c:pt>
                <c:pt idx="4">
                  <c:v>143</c:v>
                </c:pt>
                <c:pt idx="5">
                  <c:v>139</c:v>
                </c:pt>
                <c:pt idx="6">
                  <c:v>133</c:v>
                </c:pt>
                <c:pt idx="7">
                  <c:v>121</c:v>
                </c:pt>
                <c:pt idx="8">
                  <c:v>106</c:v>
                </c:pt>
                <c:pt idx="9">
                  <c:v>97</c:v>
                </c:pt>
                <c:pt idx="10">
                  <c:v>89</c:v>
                </c:pt>
                <c:pt idx="11">
                  <c:v>75</c:v>
                </c:pt>
                <c:pt idx="12">
                  <c:v>64</c:v>
                </c:pt>
                <c:pt idx="13">
                  <c:v>49</c:v>
                </c:pt>
                <c:pt idx="14">
                  <c:v>44</c:v>
                </c:pt>
                <c:pt idx="15">
                  <c:v>36</c:v>
                </c:pt>
                <c:pt idx="16">
                  <c:v>31</c:v>
                </c:pt>
                <c:pt idx="17">
                  <c:v>26</c:v>
                </c:pt>
                <c:pt idx="18">
                  <c:v>20</c:v>
                </c:pt>
                <c:pt idx="19">
                  <c:v>17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8-4D73-85F0-1B75F667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  <c:pt idx="17">
                  <c:v>46154</c:v>
                </c:pt>
                <c:pt idx="18">
                  <c:v>46155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  <c:pt idx="0">
                  <c:v>215</c:v>
                </c:pt>
                <c:pt idx="1">
                  <c:v>197</c:v>
                </c:pt>
                <c:pt idx="2">
                  <c:v>192</c:v>
                </c:pt>
                <c:pt idx="3">
                  <c:v>185</c:v>
                </c:pt>
                <c:pt idx="4">
                  <c:v>180</c:v>
                </c:pt>
                <c:pt idx="5">
                  <c:v>165</c:v>
                </c:pt>
                <c:pt idx="6">
                  <c:v>155</c:v>
                </c:pt>
                <c:pt idx="7">
                  <c:v>133</c:v>
                </c:pt>
                <c:pt idx="8">
                  <c:v>113</c:v>
                </c:pt>
                <c:pt idx="9">
                  <c:v>101</c:v>
                </c:pt>
                <c:pt idx="10">
                  <c:v>88</c:v>
                </c:pt>
                <c:pt idx="11">
                  <c:v>70</c:v>
                </c:pt>
                <c:pt idx="12">
                  <c:v>50</c:v>
                </c:pt>
                <c:pt idx="13">
                  <c:v>42</c:v>
                </c:pt>
                <c:pt idx="14">
                  <c:v>34</c:v>
                </c:pt>
                <c:pt idx="15">
                  <c:v>28</c:v>
                </c:pt>
                <c:pt idx="16">
                  <c:v>22</c:v>
                </c:pt>
                <c:pt idx="17">
                  <c:v>17</c:v>
                </c:pt>
                <c:pt idx="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5-4155-83E3-DD502BA0F7E9}"/>
            </c:ext>
          </c:extLst>
        </c:ser>
        <c:ser>
          <c:idx val="1"/>
          <c:order val="1"/>
          <c:tx>
            <c:v>Ước tính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46137</c:v>
                </c:pt>
                <c:pt idx="1">
                  <c:v>46138</c:v>
                </c:pt>
                <c:pt idx="2">
                  <c:v>46139</c:v>
                </c:pt>
                <c:pt idx="3">
                  <c:v>46140</c:v>
                </c:pt>
                <c:pt idx="4">
                  <c:v>46141</c:v>
                </c:pt>
                <c:pt idx="5">
                  <c:v>46142</c:v>
                </c:pt>
                <c:pt idx="6">
                  <c:v>46143</c:v>
                </c:pt>
                <c:pt idx="7">
                  <c:v>46144</c:v>
                </c:pt>
                <c:pt idx="8">
                  <c:v>46145</c:v>
                </c:pt>
                <c:pt idx="9">
                  <c:v>46146</c:v>
                </c:pt>
                <c:pt idx="10">
                  <c:v>46147</c:v>
                </c:pt>
                <c:pt idx="11">
                  <c:v>46148</c:v>
                </c:pt>
                <c:pt idx="12">
                  <c:v>46149</c:v>
                </c:pt>
                <c:pt idx="13">
                  <c:v>46150</c:v>
                </c:pt>
                <c:pt idx="14">
                  <c:v>46151</c:v>
                </c:pt>
                <c:pt idx="15">
                  <c:v>46152</c:v>
                </c:pt>
                <c:pt idx="16">
                  <c:v>46153</c:v>
                </c:pt>
                <c:pt idx="17">
                  <c:v>46154</c:v>
                </c:pt>
                <c:pt idx="18">
                  <c:v>46155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  <c:pt idx="0">
                  <c:v>211</c:v>
                </c:pt>
                <c:pt idx="1">
                  <c:v>193</c:v>
                </c:pt>
                <c:pt idx="2">
                  <c:v>186</c:v>
                </c:pt>
                <c:pt idx="3">
                  <c:v>180</c:v>
                </c:pt>
                <c:pt idx="4">
                  <c:v>165</c:v>
                </c:pt>
                <c:pt idx="5">
                  <c:v>159</c:v>
                </c:pt>
                <c:pt idx="6">
                  <c:v>153</c:v>
                </c:pt>
                <c:pt idx="7">
                  <c:v>134</c:v>
                </c:pt>
                <c:pt idx="8">
                  <c:v>114</c:v>
                </c:pt>
                <c:pt idx="9">
                  <c:v>103</c:v>
                </c:pt>
                <c:pt idx="10">
                  <c:v>88</c:v>
                </c:pt>
                <c:pt idx="11">
                  <c:v>70</c:v>
                </c:pt>
                <c:pt idx="12">
                  <c:v>50</c:v>
                </c:pt>
                <c:pt idx="13">
                  <c:v>42</c:v>
                </c:pt>
                <c:pt idx="14">
                  <c:v>34</c:v>
                </c:pt>
                <c:pt idx="15">
                  <c:v>28</c:v>
                </c:pt>
                <c:pt idx="16">
                  <c:v>22</c:v>
                </c:pt>
                <c:pt idx="17">
                  <c:v>17</c:v>
                </c:pt>
                <c:pt idx="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5-4155-83E3-DD502BA0F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93</xdr:row>
      <xdr:rowOff>29936</xdr:rowOff>
    </xdr:from>
    <xdr:to>
      <xdr:col>16</xdr:col>
      <xdr:colOff>326571</xdr:colOff>
      <xdr:row>106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102</xdr:row>
      <xdr:rowOff>9602</xdr:rowOff>
    </xdr:from>
    <xdr:to>
      <xdr:col>12</xdr:col>
      <xdr:colOff>245568</xdr:colOff>
      <xdr:row>123</xdr:row>
      <xdr:rowOff>109496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109</xdr:row>
      <xdr:rowOff>168088</xdr:rowOff>
    </xdr:from>
    <xdr:to>
      <xdr:col>13</xdr:col>
      <xdr:colOff>123263</xdr:colOff>
      <xdr:row>130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zoomScale="58" zoomScaleNormal="75" workbookViewId="0">
      <selection activeCell="AJ26" sqref="AJ26"/>
    </sheetView>
  </sheetViews>
  <sheetFormatPr defaultColWidth="9.140625" defaultRowHeight="16.5" x14ac:dyDescent="0.25"/>
  <cols>
    <col min="1" max="1" width="16" style="1" customWidth="1"/>
    <col min="2" max="2" width="20.28515625" style="1" customWidth="1"/>
    <col min="3" max="3" width="55.42578125" style="1" customWidth="1"/>
    <col min="4" max="5" width="11" style="1" customWidth="1"/>
    <col min="6" max="6" width="20.5703125" style="1" customWidth="1"/>
    <col min="7" max="8" width="6.140625" style="1" customWidth="1"/>
    <col min="9" max="9" width="6" style="1" customWidth="1"/>
    <col min="10" max="13" width="6.140625" style="1" customWidth="1"/>
    <col min="14" max="14" width="6" style="1" customWidth="1"/>
    <col min="15" max="15" width="6.140625" style="1" customWidth="1"/>
    <col min="16" max="20" width="6" style="1" customWidth="1"/>
    <col min="21" max="23" width="6.140625" style="1" customWidth="1"/>
    <col min="24" max="24" width="6" style="1" customWidth="1"/>
    <col min="25" max="25" width="6.140625" style="1" customWidth="1"/>
    <col min="26" max="26" width="6" style="1" customWidth="1"/>
    <col min="27" max="27" width="5.85546875" style="1" customWidth="1"/>
    <col min="28" max="28" width="6.140625" style="1" customWidth="1"/>
    <col min="29" max="31" width="6" style="1" customWidth="1"/>
    <col min="32" max="32" width="9.140625" style="1" customWidth="1"/>
    <col min="33" max="16384" width="9.140625" style="1"/>
  </cols>
  <sheetData>
    <row r="1" spans="1:22" ht="34.15" customHeight="1" thickBot="1" x14ac:dyDescent="0.3">
      <c r="A1" s="58" t="s">
        <v>0</v>
      </c>
      <c r="B1" s="53"/>
      <c r="C1" s="36" t="s">
        <v>1</v>
      </c>
      <c r="E1" s="10"/>
      <c r="F1" s="11" t="s">
        <v>2</v>
      </c>
    </row>
    <row r="2" spans="1:22" ht="17.45" customHeight="1" thickBot="1" x14ac:dyDescent="0.3">
      <c r="A2" s="58" t="s">
        <v>3</v>
      </c>
      <c r="B2" s="53"/>
      <c r="C2" s="3" t="s">
        <v>4</v>
      </c>
      <c r="E2" s="14"/>
      <c r="F2" s="13" t="s">
        <v>5</v>
      </c>
    </row>
    <row r="3" spans="1:22" ht="17.45" customHeight="1" thickBot="1" x14ac:dyDescent="0.3">
      <c r="A3" s="58" t="s">
        <v>6</v>
      </c>
      <c r="B3" s="53"/>
      <c r="C3" s="37">
        <v>46099</v>
      </c>
      <c r="E3" s="16"/>
      <c r="F3" s="17" t="s">
        <v>7</v>
      </c>
    </row>
    <row r="4" spans="1:22" ht="17.25" customHeight="1" thickBot="1" x14ac:dyDescent="0.3">
      <c r="A4" s="58" t="s">
        <v>8</v>
      </c>
      <c r="B4" s="53"/>
      <c r="C4" s="37">
        <v>46112</v>
      </c>
    </row>
    <row r="5" spans="1:22" ht="16.5" customHeight="1" thickBot="1" x14ac:dyDescent="0.3"/>
    <row r="6" spans="1:22" ht="17.45" customHeight="1" thickBot="1" x14ac:dyDescent="0.3">
      <c r="B6" s="52" t="s">
        <v>9</v>
      </c>
      <c r="C6" s="57"/>
      <c r="D6" s="57"/>
      <c r="E6" s="53"/>
    </row>
    <row r="7" spans="1:22" ht="17.45" customHeight="1" thickBot="1" x14ac:dyDescent="0.3">
      <c r="B7" s="7" t="s">
        <v>10</v>
      </c>
      <c r="C7" s="7" t="s">
        <v>11</v>
      </c>
      <c r="D7" s="7" t="s">
        <v>12</v>
      </c>
      <c r="E7" s="7" t="s">
        <v>13</v>
      </c>
    </row>
    <row r="8" spans="1:22" ht="17.45" customHeight="1" thickBot="1" x14ac:dyDescent="0.3">
      <c r="B8" s="9">
        <v>1</v>
      </c>
      <c r="C8" s="3" t="s">
        <v>14</v>
      </c>
      <c r="D8" s="3">
        <v>22.6</v>
      </c>
      <c r="E8" s="3">
        <v>23</v>
      </c>
    </row>
    <row r="9" spans="1:22" ht="17.45" customHeight="1" thickBot="1" x14ac:dyDescent="0.3">
      <c r="B9" s="9">
        <v>2</v>
      </c>
      <c r="C9" s="3" t="s">
        <v>15</v>
      </c>
      <c r="D9" s="3">
        <v>39.1</v>
      </c>
      <c r="E9" s="3">
        <v>39.5</v>
      </c>
    </row>
    <row r="10" spans="1:22" ht="17.45" customHeight="1" thickBot="1" x14ac:dyDescent="0.3">
      <c r="B10" s="9">
        <v>3</v>
      </c>
      <c r="C10" s="3" t="s">
        <v>16</v>
      </c>
      <c r="D10" s="3">
        <v>25.1</v>
      </c>
      <c r="E10" s="3">
        <v>25.5</v>
      </c>
    </row>
    <row r="11" spans="1:22" ht="17.45" customHeight="1" thickBot="1" x14ac:dyDescent="0.3">
      <c r="B11" s="9">
        <v>4</v>
      </c>
      <c r="C11" s="3" t="s">
        <v>17</v>
      </c>
      <c r="D11" s="3">
        <v>28.6</v>
      </c>
      <c r="E11" s="3">
        <v>29</v>
      </c>
    </row>
    <row r="12" spans="1:22" ht="17.45" customHeight="1" thickBot="1" x14ac:dyDescent="0.3">
      <c r="B12" s="9">
        <v>5</v>
      </c>
      <c r="C12" s="3" t="s">
        <v>18</v>
      </c>
      <c r="D12" s="3">
        <v>30.6</v>
      </c>
      <c r="E12" s="3">
        <v>32</v>
      </c>
    </row>
    <row r="13" spans="1:22" ht="17.45" customHeight="1" thickBot="1" x14ac:dyDescent="0.3">
      <c r="B13" s="52" t="s">
        <v>19</v>
      </c>
      <c r="C13" s="53"/>
      <c r="D13" s="6">
        <v>146</v>
      </c>
      <c r="E13" s="6">
        <v>149</v>
      </c>
    </row>
    <row r="15" spans="1:22" ht="62.25" customHeight="1" x14ac:dyDescent="0.25">
      <c r="A15" s="18" t="s">
        <v>20</v>
      </c>
      <c r="B15" s="18" t="s">
        <v>21</v>
      </c>
      <c r="C15" s="49" t="s">
        <v>22</v>
      </c>
      <c r="D15" s="48"/>
      <c r="E15" s="49" t="s">
        <v>23</v>
      </c>
      <c r="F15" s="48"/>
      <c r="G15" s="19" t="s">
        <v>12</v>
      </c>
      <c r="H15" s="19" t="s">
        <v>13</v>
      </c>
      <c r="I15" s="20">
        <v>46099</v>
      </c>
      <c r="J15" s="20">
        <v>46100</v>
      </c>
      <c r="K15" s="20">
        <v>46101</v>
      </c>
      <c r="L15" s="20">
        <v>46102</v>
      </c>
      <c r="M15" s="20">
        <v>46103</v>
      </c>
      <c r="N15" s="20">
        <v>46104</v>
      </c>
      <c r="O15" s="20">
        <v>46105</v>
      </c>
      <c r="P15" s="20">
        <v>46106</v>
      </c>
      <c r="Q15" s="20">
        <v>46107</v>
      </c>
      <c r="R15" s="20">
        <v>46108</v>
      </c>
      <c r="S15" s="20">
        <v>46109</v>
      </c>
      <c r="T15" s="20">
        <v>46110</v>
      </c>
      <c r="U15" s="20">
        <v>46111</v>
      </c>
      <c r="V15" s="20">
        <v>46112</v>
      </c>
    </row>
    <row r="16" spans="1:22" x14ac:dyDescent="0.25">
      <c r="A16" s="44"/>
      <c r="B16" s="50" t="s">
        <v>24</v>
      </c>
      <c r="C16" s="55"/>
      <c r="D16" s="48"/>
      <c r="E16" s="47" t="s">
        <v>25</v>
      </c>
      <c r="F16" s="48"/>
      <c r="G16" s="21">
        <v>10</v>
      </c>
      <c r="H16" s="21">
        <v>10</v>
      </c>
      <c r="I16" s="22">
        <v>10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</row>
    <row r="17" spans="1:22" x14ac:dyDescent="0.25">
      <c r="A17" s="45"/>
      <c r="B17" s="50" t="s">
        <v>26</v>
      </c>
      <c r="C17" s="55"/>
      <c r="D17" s="48"/>
      <c r="E17" s="47" t="s">
        <v>27</v>
      </c>
      <c r="F17" s="48"/>
      <c r="G17" s="21">
        <v>4</v>
      </c>
      <c r="H17" s="21">
        <v>4</v>
      </c>
      <c r="I17" s="22">
        <v>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</row>
    <row r="18" spans="1:22" x14ac:dyDescent="0.25">
      <c r="A18" s="45"/>
      <c r="B18" s="50" t="s">
        <v>28</v>
      </c>
      <c r="C18" s="55"/>
      <c r="D18" s="48"/>
      <c r="E18" s="47" t="s">
        <v>29</v>
      </c>
      <c r="F18" s="48"/>
      <c r="G18" s="21">
        <v>4</v>
      </c>
      <c r="H18" s="21">
        <v>4</v>
      </c>
      <c r="I18" s="22">
        <v>4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</row>
    <row r="19" spans="1:22" x14ac:dyDescent="0.25">
      <c r="A19" s="45"/>
      <c r="B19" s="44" t="s">
        <v>30</v>
      </c>
      <c r="C19" s="50" t="s">
        <v>31</v>
      </c>
      <c r="D19" s="48"/>
      <c r="E19" s="47" t="s">
        <v>14</v>
      </c>
      <c r="F19" s="48"/>
      <c r="G19" s="21">
        <v>2</v>
      </c>
      <c r="H19" s="21">
        <v>2</v>
      </c>
      <c r="I19" s="21">
        <v>2</v>
      </c>
      <c r="J19" s="22">
        <v>2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</row>
    <row r="20" spans="1:22" x14ac:dyDescent="0.25">
      <c r="A20" s="45"/>
      <c r="B20" s="45"/>
      <c r="C20" s="50" t="s">
        <v>32</v>
      </c>
      <c r="D20" s="48"/>
      <c r="E20" s="47" t="s">
        <v>16</v>
      </c>
      <c r="F20" s="48"/>
      <c r="G20" s="21">
        <v>1</v>
      </c>
      <c r="H20" s="21">
        <v>1</v>
      </c>
      <c r="I20" s="21">
        <v>1</v>
      </c>
      <c r="J20" s="22">
        <v>1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</row>
    <row r="21" spans="1:22" x14ac:dyDescent="0.25">
      <c r="A21" s="45"/>
      <c r="B21" s="45"/>
      <c r="C21" s="50" t="s">
        <v>33</v>
      </c>
      <c r="D21" s="48"/>
      <c r="E21" s="47" t="s">
        <v>18</v>
      </c>
      <c r="F21" s="48"/>
      <c r="G21" s="21">
        <v>1</v>
      </c>
      <c r="H21" s="21">
        <v>1</v>
      </c>
      <c r="I21" s="21">
        <v>1</v>
      </c>
      <c r="J21" s="22">
        <v>1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</row>
    <row r="22" spans="1:22" x14ac:dyDescent="0.25">
      <c r="A22" s="45"/>
      <c r="B22" s="45"/>
      <c r="C22" s="47"/>
      <c r="D22" s="48"/>
      <c r="E22" s="47"/>
      <c r="F22" s="48"/>
      <c r="G22" s="21"/>
      <c r="H22" s="21"/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</row>
    <row r="23" spans="1:22" x14ac:dyDescent="0.25">
      <c r="A23" s="45"/>
      <c r="B23" s="45"/>
      <c r="C23" s="50" t="s">
        <v>34</v>
      </c>
      <c r="D23" s="48"/>
      <c r="E23" s="47" t="s">
        <v>17</v>
      </c>
      <c r="F23" s="48"/>
      <c r="G23" s="21">
        <v>2</v>
      </c>
      <c r="H23" s="21">
        <v>2</v>
      </c>
      <c r="I23" s="21">
        <v>2</v>
      </c>
      <c r="J23" s="22">
        <v>2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</row>
    <row r="24" spans="1:22" x14ac:dyDescent="0.25">
      <c r="A24" s="45"/>
      <c r="B24" s="45"/>
      <c r="C24" s="50" t="s">
        <v>35</v>
      </c>
      <c r="D24" s="48"/>
      <c r="E24" s="47" t="s">
        <v>15</v>
      </c>
      <c r="F24" s="48"/>
      <c r="G24" s="21">
        <v>2</v>
      </c>
      <c r="H24" s="21">
        <v>2</v>
      </c>
      <c r="I24" s="21">
        <v>2</v>
      </c>
      <c r="J24" s="22">
        <v>2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</row>
    <row r="25" spans="1:22" x14ac:dyDescent="0.25">
      <c r="A25" s="45"/>
      <c r="B25" s="45"/>
      <c r="C25" s="50" t="s">
        <v>36</v>
      </c>
      <c r="D25" s="48"/>
      <c r="E25" s="47" t="s">
        <v>16</v>
      </c>
      <c r="F25" s="48"/>
      <c r="G25" s="21">
        <v>1</v>
      </c>
      <c r="H25" s="21">
        <v>1</v>
      </c>
      <c r="I25" s="21">
        <v>1</v>
      </c>
      <c r="J25" s="21">
        <v>1</v>
      </c>
      <c r="K25" s="22">
        <v>1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</row>
    <row r="26" spans="1:22" x14ac:dyDescent="0.25">
      <c r="A26" s="45"/>
      <c r="B26" s="45"/>
      <c r="C26" s="50" t="s">
        <v>37</v>
      </c>
      <c r="D26" s="48"/>
      <c r="E26" s="47" t="s">
        <v>15</v>
      </c>
      <c r="F26" s="48"/>
      <c r="G26" s="21">
        <v>2</v>
      </c>
      <c r="H26" s="21">
        <v>2</v>
      </c>
      <c r="I26" s="21">
        <v>2</v>
      </c>
      <c r="J26" s="21">
        <v>2</v>
      </c>
      <c r="K26" s="22">
        <v>2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</row>
    <row r="27" spans="1:22" x14ac:dyDescent="0.25">
      <c r="A27" s="45"/>
      <c r="B27" s="45"/>
      <c r="C27" s="50" t="s">
        <v>38</v>
      </c>
      <c r="D27" s="48"/>
      <c r="E27" s="47" t="s">
        <v>18</v>
      </c>
      <c r="F27" s="48"/>
      <c r="G27" s="21">
        <v>1</v>
      </c>
      <c r="H27" s="21">
        <v>1</v>
      </c>
      <c r="I27" s="21">
        <v>1</v>
      </c>
      <c r="J27" s="21">
        <v>1</v>
      </c>
      <c r="K27" s="22">
        <v>1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</row>
    <row r="28" spans="1:22" x14ac:dyDescent="0.25">
      <c r="A28" s="45"/>
      <c r="B28" s="45"/>
      <c r="C28" s="50" t="s">
        <v>39</v>
      </c>
      <c r="D28" s="48"/>
      <c r="E28" s="47" t="s">
        <v>25</v>
      </c>
      <c r="F28" s="48"/>
      <c r="G28" s="21">
        <v>7</v>
      </c>
      <c r="H28" s="21">
        <v>8</v>
      </c>
      <c r="I28" s="21">
        <v>7</v>
      </c>
      <c r="J28" s="21">
        <v>7</v>
      </c>
      <c r="K28" s="23">
        <v>7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</row>
    <row r="29" spans="1:22" x14ac:dyDescent="0.25">
      <c r="A29" s="45"/>
      <c r="B29" s="46"/>
      <c r="C29" s="50"/>
      <c r="D29" s="48"/>
      <c r="E29" s="47"/>
      <c r="F29" s="48"/>
      <c r="G29" s="21"/>
      <c r="H29" s="21"/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</row>
    <row r="30" spans="1:22" x14ac:dyDescent="0.25">
      <c r="A30" s="45"/>
      <c r="B30" s="44" t="s">
        <v>40</v>
      </c>
      <c r="C30" s="50" t="s">
        <v>41</v>
      </c>
      <c r="D30" s="48"/>
      <c r="E30" s="47" t="s">
        <v>15</v>
      </c>
      <c r="F30" s="48"/>
      <c r="G30" s="21">
        <v>1</v>
      </c>
      <c r="H30" s="21">
        <v>1</v>
      </c>
      <c r="I30" s="21">
        <v>1</v>
      </c>
      <c r="J30" s="21">
        <v>1</v>
      </c>
      <c r="K30" s="22">
        <v>1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</row>
    <row r="31" spans="1:22" x14ac:dyDescent="0.25">
      <c r="A31" s="45"/>
      <c r="B31" s="45"/>
      <c r="C31" s="50" t="s">
        <v>42</v>
      </c>
      <c r="D31" s="48"/>
      <c r="E31" s="47" t="s">
        <v>15</v>
      </c>
      <c r="F31" s="48"/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>
        <v>1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</row>
    <row r="32" spans="1:22" x14ac:dyDescent="0.25">
      <c r="A32" s="45"/>
      <c r="B32" s="45"/>
      <c r="C32" s="50" t="s">
        <v>43</v>
      </c>
      <c r="D32" s="48"/>
      <c r="E32" s="47" t="s">
        <v>16</v>
      </c>
      <c r="F32" s="48"/>
      <c r="G32" s="21">
        <v>1</v>
      </c>
      <c r="H32" s="21">
        <v>1</v>
      </c>
      <c r="I32" s="21">
        <v>1</v>
      </c>
      <c r="J32" s="21">
        <v>1</v>
      </c>
      <c r="K32" s="21">
        <v>1</v>
      </c>
      <c r="L32" s="22">
        <v>1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</row>
    <row r="33" spans="1:22" x14ac:dyDescent="0.25">
      <c r="A33" s="45"/>
      <c r="B33" s="45"/>
      <c r="C33" s="50" t="s">
        <v>44</v>
      </c>
      <c r="D33" s="48"/>
      <c r="E33" s="47" t="s">
        <v>18</v>
      </c>
      <c r="F33" s="48"/>
      <c r="G33" s="21">
        <v>2</v>
      </c>
      <c r="H33" s="21">
        <v>2</v>
      </c>
      <c r="I33" s="21">
        <v>2</v>
      </c>
      <c r="J33" s="21">
        <v>2</v>
      </c>
      <c r="K33" s="21">
        <v>2</v>
      </c>
      <c r="L33" s="22">
        <v>2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</row>
    <row r="34" spans="1:22" x14ac:dyDescent="0.25">
      <c r="A34" s="45"/>
      <c r="B34" s="45"/>
      <c r="C34" s="50" t="s">
        <v>45</v>
      </c>
      <c r="D34" s="48"/>
      <c r="E34" s="47" t="s">
        <v>14</v>
      </c>
      <c r="F34" s="48"/>
      <c r="G34" s="21">
        <v>1</v>
      </c>
      <c r="H34" s="21">
        <v>1</v>
      </c>
      <c r="I34" s="21">
        <v>1</v>
      </c>
      <c r="J34" s="21">
        <v>1</v>
      </c>
      <c r="K34" s="21">
        <v>1</v>
      </c>
      <c r="L34" s="22">
        <v>1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</row>
    <row r="35" spans="1:22" x14ac:dyDescent="0.25">
      <c r="A35" s="45"/>
      <c r="B35" s="45"/>
      <c r="C35" s="50" t="s">
        <v>46</v>
      </c>
      <c r="D35" s="48"/>
      <c r="E35" s="47" t="s">
        <v>15</v>
      </c>
      <c r="F35" s="48"/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>
        <v>1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</row>
    <row r="36" spans="1:22" x14ac:dyDescent="0.25">
      <c r="A36" s="45"/>
      <c r="B36" s="45"/>
      <c r="C36" s="50" t="s">
        <v>47</v>
      </c>
      <c r="D36" s="48"/>
      <c r="E36" s="47" t="s">
        <v>17</v>
      </c>
      <c r="F36" s="48"/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2">
        <v>1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</row>
    <row r="37" spans="1:22" x14ac:dyDescent="0.25">
      <c r="A37" s="45"/>
      <c r="B37" s="45"/>
      <c r="C37" s="50" t="s">
        <v>48</v>
      </c>
      <c r="D37" s="48"/>
      <c r="E37" s="47" t="s">
        <v>17</v>
      </c>
      <c r="F37" s="48"/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2">
        <v>1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</row>
    <row r="38" spans="1:22" x14ac:dyDescent="0.25">
      <c r="A38" s="45"/>
      <c r="B38" s="45"/>
      <c r="C38" s="50"/>
      <c r="D38" s="48"/>
      <c r="E38" s="47"/>
      <c r="F38" s="48"/>
      <c r="G38" s="21"/>
      <c r="H38" s="21"/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</row>
    <row r="39" spans="1:22" x14ac:dyDescent="0.25">
      <c r="A39" s="45"/>
      <c r="B39" s="45"/>
      <c r="C39" s="50" t="s">
        <v>49</v>
      </c>
      <c r="D39" s="48"/>
      <c r="E39" s="47" t="s">
        <v>25</v>
      </c>
      <c r="F39" s="48"/>
      <c r="G39" s="21">
        <v>7</v>
      </c>
      <c r="H39" s="21">
        <v>8</v>
      </c>
      <c r="I39" s="21">
        <v>7</v>
      </c>
      <c r="J39" s="21">
        <v>7</v>
      </c>
      <c r="K39" s="21">
        <v>7</v>
      </c>
      <c r="L39" s="21">
        <v>7</v>
      </c>
      <c r="M39" s="23">
        <v>7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</row>
    <row r="40" spans="1:22" x14ac:dyDescent="0.25">
      <c r="A40" s="45"/>
      <c r="B40" s="46"/>
      <c r="C40" s="50"/>
      <c r="D40" s="48"/>
      <c r="E40" s="47"/>
      <c r="F40" s="48"/>
      <c r="G40" s="21"/>
      <c r="H40" s="21"/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</row>
    <row r="41" spans="1:22" x14ac:dyDescent="0.25">
      <c r="A41" s="45"/>
      <c r="B41" s="44" t="s">
        <v>50</v>
      </c>
      <c r="C41" s="50" t="s">
        <v>51</v>
      </c>
      <c r="D41" s="48"/>
      <c r="E41" s="47" t="s">
        <v>14</v>
      </c>
      <c r="F41" s="48"/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2">
        <v>3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</row>
    <row r="42" spans="1:22" x14ac:dyDescent="0.25">
      <c r="A42" s="45"/>
      <c r="B42" s="45"/>
      <c r="C42" s="50" t="s">
        <v>52</v>
      </c>
      <c r="D42" s="48"/>
      <c r="E42" s="47" t="s">
        <v>14</v>
      </c>
      <c r="F42" s="48"/>
      <c r="G42" s="21">
        <v>4</v>
      </c>
      <c r="H42" s="21">
        <v>4</v>
      </c>
      <c r="I42" s="21">
        <v>4</v>
      </c>
      <c r="J42" s="21">
        <v>4</v>
      </c>
      <c r="K42" s="21">
        <v>4</v>
      </c>
      <c r="L42" s="21">
        <v>4</v>
      </c>
      <c r="M42" s="21">
        <v>4</v>
      </c>
      <c r="N42" s="22">
        <v>4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</row>
    <row r="43" spans="1:22" x14ac:dyDescent="0.25">
      <c r="A43" s="45"/>
      <c r="B43" s="45"/>
      <c r="C43" s="50" t="s">
        <v>53</v>
      </c>
      <c r="D43" s="48"/>
      <c r="E43" s="47" t="s">
        <v>16</v>
      </c>
      <c r="F43" s="48"/>
      <c r="G43" s="21">
        <v>2</v>
      </c>
      <c r="H43" s="21">
        <v>2</v>
      </c>
      <c r="I43" s="21">
        <v>2</v>
      </c>
      <c r="J43" s="21">
        <v>2</v>
      </c>
      <c r="K43" s="21">
        <v>2</v>
      </c>
      <c r="L43" s="21">
        <v>2</v>
      </c>
      <c r="M43" s="21">
        <v>2</v>
      </c>
      <c r="N43" s="22">
        <v>2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</row>
    <row r="44" spans="1:22" x14ac:dyDescent="0.25">
      <c r="A44" s="45"/>
      <c r="B44" s="45"/>
      <c r="C44" s="50"/>
      <c r="D44" s="48"/>
      <c r="E44" s="47"/>
      <c r="F44" s="48"/>
      <c r="G44" s="21"/>
      <c r="H44" s="21"/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</row>
    <row r="45" spans="1:22" x14ac:dyDescent="0.25">
      <c r="A45" s="45"/>
      <c r="B45" s="45"/>
      <c r="C45" s="50" t="s">
        <v>54</v>
      </c>
      <c r="D45" s="48"/>
      <c r="E45" s="47" t="s">
        <v>16</v>
      </c>
      <c r="F45" s="48"/>
      <c r="G45" s="21">
        <v>2</v>
      </c>
      <c r="H45" s="21">
        <v>2</v>
      </c>
      <c r="I45" s="21">
        <v>2</v>
      </c>
      <c r="J45" s="21">
        <v>2</v>
      </c>
      <c r="K45" s="21">
        <v>2</v>
      </c>
      <c r="L45" s="21">
        <v>2</v>
      </c>
      <c r="M45" s="21">
        <v>2</v>
      </c>
      <c r="N45" s="22">
        <v>2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</row>
    <row r="46" spans="1:22" x14ac:dyDescent="0.25">
      <c r="A46" s="45"/>
      <c r="B46" s="45"/>
      <c r="C46" s="50"/>
      <c r="D46" s="48"/>
      <c r="E46" s="47"/>
      <c r="F46" s="48"/>
      <c r="G46" s="21"/>
      <c r="H46" s="21"/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</row>
    <row r="47" spans="1:22" x14ac:dyDescent="0.25">
      <c r="A47" s="45"/>
      <c r="B47" s="45"/>
      <c r="C47" s="50" t="s">
        <v>55</v>
      </c>
      <c r="D47" s="48"/>
      <c r="E47" s="47" t="s">
        <v>18</v>
      </c>
      <c r="F47" s="48"/>
      <c r="G47" s="21">
        <v>2</v>
      </c>
      <c r="H47" s="21">
        <v>2</v>
      </c>
      <c r="I47" s="21">
        <v>2</v>
      </c>
      <c r="J47" s="21">
        <v>2</v>
      </c>
      <c r="K47" s="21">
        <v>2</v>
      </c>
      <c r="L47" s="21">
        <v>2</v>
      </c>
      <c r="M47" s="21">
        <v>2</v>
      </c>
      <c r="N47" s="22">
        <v>2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</row>
    <row r="48" spans="1:22" x14ac:dyDescent="0.25">
      <c r="A48" s="45"/>
      <c r="B48" s="45"/>
      <c r="C48" s="50"/>
      <c r="D48" s="48"/>
      <c r="E48" s="47"/>
      <c r="F48" s="48"/>
      <c r="G48" s="21"/>
      <c r="H48" s="21"/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</row>
    <row r="49" spans="1:22" x14ac:dyDescent="0.25">
      <c r="A49" s="45"/>
      <c r="B49" s="45"/>
      <c r="C49" s="50" t="s">
        <v>56</v>
      </c>
      <c r="D49" s="48"/>
      <c r="E49" s="47" t="s">
        <v>18</v>
      </c>
      <c r="F49" s="48"/>
      <c r="G49" s="21">
        <v>2</v>
      </c>
      <c r="H49" s="21">
        <v>2</v>
      </c>
      <c r="I49" s="21">
        <v>2</v>
      </c>
      <c r="J49" s="21">
        <v>2</v>
      </c>
      <c r="K49" s="21">
        <v>2</v>
      </c>
      <c r="L49" s="21">
        <v>2</v>
      </c>
      <c r="M49" s="21">
        <v>2</v>
      </c>
      <c r="N49" s="22">
        <v>2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</row>
    <row r="50" spans="1:22" x14ac:dyDescent="0.25">
      <c r="A50" s="45"/>
      <c r="B50" s="45"/>
      <c r="C50" s="50"/>
      <c r="D50" s="48"/>
      <c r="E50" s="47"/>
      <c r="F50" s="48"/>
      <c r="G50" s="21"/>
      <c r="H50" s="21"/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</row>
    <row r="51" spans="1:22" x14ac:dyDescent="0.25">
      <c r="A51" s="45"/>
      <c r="B51" s="45"/>
      <c r="C51" s="50" t="s">
        <v>57</v>
      </c>
      <c r="D51" s="48"/>
      <c r="E51" s="47" t="s">
        <v>17</v>
      </c>
      <c r="F51" s="48"/>
      <c r="G51" s="21">
        <v>3</v>
      </c>
      <c r="H51" s="21">
        <v>3</v>
      </c>
      <c r="I51" s="21">
        <v>3</v>
      </c>
      <c r="J51" s="21">
        <v>3</v>
      </c>
      <c r="K51" s="21">
        <v>3</v>
      </c>
      <c r="L51" s="21">
        <v>3</v>
      </c>
      <c r="M51" s="21">
        <v>3</v>
      </c>
      <c r="N51" s="21">
        <v>3</v>
      </c>
      <c r="O51" s="22">
        <v>3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</row>
    <row r="52" spans="1:22" x14ac:dyDescent="0.25">
      <c r="A52" s="45"/>
      <c r="B52" s="45"/>
      <c r="C52" s="50" t="s">
        <v>58</v>
      </c>
      <c r="D52" s="48"/>
      <c r="E52" s="47" t="s">
        <v>17</v>
      </c>
      <c r="F52" s="48"/>
      <c r="G52" s="21">
        <v>4</v>
      </c>
      <c r="H52" s="21">
        <v>4</v>
      </c>
      <c r="I52" s="21">
        <v>4</v>
      </c>
      <c r="J52" s="21">
        <v>4</v>
      </c>
      <c r="K52" s="21">
        <v>4</v>
      </c>
      <c r="L52" s="21">
        <v>4</v>
      </c>
      <c r="M52" s="21">
        <v>4</v>
      </c>
      <c r="N52" s="21">
        <v>4</v>
      </c>
      <c r="O52" s="22">
        <v>4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</row>
    <row r="53" spans="1:22" x14ac:dyDescent="0.25">
      <c r="A53" s="45"/>
      <c r="B53" s="45"/>
      <c r="C53" s="50" t="s">
        <v>59</v>
      </c>
      <c r="D53" s="48"/>
      <c r="E53" s="47" t="s">
        <v>15</v>
      </c>
      <c r="F53" s="48"/>
      <c r="G53" s="21">
        <v>3</v>
      </c>
      <c r="H53" s="21">
        <v>3</v>
      </c>
      <c r="I53" s="21">
        <v>3</v>
      </c>
      <c r="J53" s="21">
        <v>3</v>
      </c>
      <c r="K53" s="21">
        <v>3</v>
      </c>
      <c r="L53" s="21">
        <v>3</v>
      </c>
      <c r="M53" s="21">
        <v>3</v>
      </c>
      <c r="N53" s="21">
        <v>3</v>
      </c>
      <c r="O53" s="22">
        <v>3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</row>
    <row r="54" spans="1:22" x14ac:dyDescent="0.25">
      <c r="A54" s="45"/>
      <c r="B54" s="45"/>
      <c r="C54" s="50" t="s">
        <v>60</v>
      </c>
      <c r="D54" s="48"/>
      <c r="E54" s="47" t="s">
        <v>15</v>
      </c>
      <c r="F54" s="48"/>
      <c r="G54" s="21">
        <v>4</v>
      </c>
      <c r="H54" s="21">
        <v>4</v>
      </c>
      <c r="I54" s="21">
        <v>4</v>
      </c>
      <c r="J54" s="21">
        <v>4</v>
      </c>
      <c r="K54" s="21">
        <v>4</v>
      </c>
      <c r="L54" s="21">
        <v>4</v>
      </c>
      <c r="M54" s="21">
        <v>4</v>
      </c>
      <c r="N54" s="21">
        <v>4</v>
      </c>
      <c r="O54" s="22">
        <v>4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</row>
    <row r="55" spans="1:22" x14ac:dyDescent="0.25">
      <c r="A55" s="45"/>
      <c r="B55" s="45"/>
      <c r="C55" s="50" t="s">
        <v>61</v>
      </c>
      <c r="D55" s="48"/>
      <c r="E55" s="47" t="s">
        <v>16</v>
      </c>
      <c r="F55" s="48"/>
      <c r="G55" s="21">
        <v>2</v>
      </c>
      <c r="H55" s="21">
        <v>2</v>
      </c>
      <c r="I55" s="21">
        <v>2</v>
      </c>
      <c r="J55" s="21">
        <v>2</v>
      </c>
      <c r="K55" s="21">
        <v>2</v>
      </c>
      <c r="L55" s="21">
        <v>2</v>
      </c>
      <c r="M55" s="21">
        <v>2</v>
      </c>
      <c r="N55" s="21">
        <v>2</v>
      </c>
      <c r="O55" s="22">
        <v>2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</row>
    <row r="56" spans="1:22" x14ac:dyDescent="0.25">
      <c r="A56" s="45"/>
      <c r="B56" s="45"/>
      <c r="C56" s="50" t="s">
        <v>62</v>
      </c>
      <c r="D56" s="48"/>
      <c r="E56" s="47" t="s">
        <v>16</v>
      </c>
      <c r="F56" s="48"/>
      <c r="G56" s="21">
        <v>2</v>
      </c>
      <c r="H56" s="21">
        <v>2</v>
      </c>
      <c r="I56" s="21">
        <v>2</v>
      </c>
      <c r="J56" s="21">
        <v>2</v>
      </c>
      <c r="K56" s="21">
        <v>2</v>
      </c>
      <c r="L56" s="21">
        <v>2</v>
      </c>
      <c r="M56" s="21">
        <v>2</v>
      </c>
      <c r="N56" s="21">
        <v>2</v>
      </c>
      <c r="O56" s="21">
        <v>2</v>
      </c>
      <c r="P56" s="22">
        <v>2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</row>
    <row r="57" spans="1:22" x14ac:dyDescent="0.25">
      <c r="A57" s="45"/>
      <c r="B57" s="45"/>
      <c r="C57" s="50" t="s">
        <v>63</v>
      </c>
      <c r="D57" s="48"/>
      <c r="E57" s="47" t="s">
        <v>15</v>
      </c>
      <c r="F57" s="48"/>
      <c r="G57" s="21">
        <v>3</v>
      </c>
      <c r="H57" s="21">
        <v>3</v>
      </c>
      <c r="I57" s="21">
        <v>3</v>
      </c>
      <c r="J57" s="21">
        <v>3</v>
      </c>
      <c r="K57" s="21">
        <v>3</v>
      </c>
      <c r="L57" s="21">
        <v>3</v>
      </c>
      <c r="M57" s="21">
        <v>3</v>
      </c>
      <c r="N57" s="21">
        <v>3</v>
      </c>
      <c r="O57" s="21">
        <v>3</v>
      </c>
      <c r="P57" s="22">
        <v>3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</row>
    <row r="58" spans="1:22" x14ac:dyDescent="0.25">
      <c r="A58" s="45"/>
      <c r="B58" s="45"/>
      <c r="C58" s="50" t="s">
        <v>64</v>
      </c>
      <c r="D58" s="48"/>
      <c r="E58" s="47" t="s">
        <v>15</v>
      </c>
      <c r="F58" s="48"/>
      <c r="G58" s="21">
        <v>4</v>
      </c>
      <c r="H58" s="21">
        <v>4</v>
      </c>
      <c r="I58" s="21">
        <v>4</v>
      </c>
      <c r="J58" s="21">
        <v>4</v>
      </c>
      <c r="K58" s="21">
        <v>4</v>
      </c>
      <c r="L58" s="21">
        <v>4</v>
      </c>
      <c r="M58" s="21">
        <v>4</v>
      </c>
      <c r="N58" s="21">
        <v>4</v>
      </c>
      <c r="O58" s="21">
        <v>4</v>
      </c>
      <c r="P58" s="22">
        <v>4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</row>
    <row r="59" spans="1:22" x14ac:dyDescent="0.25">
      <c r="A59" s="45"/>
      <c r="B59" s="45"/>
      <c r="C59" s="50" t="s">
        <v>65</v>
      </c>
      <c r="D59" s="48"/>
      <c r="E59" s="47" t="s">
        <v>18</v>
      </c>
      <c r="F59" s="48"/>
      <c r="G59" s="21">
        <v>1</v>
      </c>
      <c r="H59" s="21">
        <v>2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3">
        <v>1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</row>
    <row r="60" spans="1:22" x14ac:dyDescent="0.25">
      <c r="A60" s="45"/>
      <c r="B60" s="45"/>
      <c r="C60" s="50" t="s">
        <v>66</v>
      </c>
      <c r="D60" s="48"/>
      <c r="E60" s="47" t="s">
        <v>18</v>
      </c>
      <c r="F60" s="48"/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2</v>
      </c>
      <c r="M60" s="21">
        <v>2</v>
      </c>
      <c r="N60" s="21">
        <v>2</v>
      </c>
      <c r="O60" s="21">
        <v>2</v>
      </c>
      <c r="P60" s="22">
        <v>2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</row>
    <row r="61" spans="1:22" x14ac:dyDescent="0.25">
      <c r="A61" s="45"/>
      <c r="B61" s="45"/>
      <c r="C61" s="50" t="s">
        <v>67</v>
      </c>
      <c r="D61" s="48"/>
      <c r="E61" s="51" t="s">
        <v>68</v>
      </c>
      <c r="F61" s="48"/>
      <c r="G61" s="21">
        <v>9</v>
      </c>
      <c r="H61" s="21">
        <v>9</v>
      </c>
      <c r="I61" s="21">
        <v>9</v>
      </c>
      <c r="J61" s="21">
        <v>9</v>
      </c>
      <c r="K61" s="21">
        <v>9</v>
      </c>
      <c r="L61" s="21">
        <v>9</v>
      </c>
      <c r="M61" s="21">
        <v>9</v>
      </c>
      <c r="N61" s="21">
        <v>9</v>
      </c>
      <c r="O61" s="21">
        <v>9</v>
      </c>
      <c r="P61" s="21">
        <v>9</v>
      </c>
      <c r="Q61" s="22">
        <v>9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</row>
    <row r="62" spans="1:22" x14ac:dyDescent="0.25">
      <c r="A62" s="45"/>
      <c r="B62" s="46"/>
      <c r="C62" s="47"/>
      <c r="D62" s="48"/>
      <c r="E62" s="47"/>
      <c r="F62" s="48"/>
      <c r="G62" s="21"/>
      <c r="H62" s="21"/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</row>
    <row r="63" spans="1:22" x14ac:dyDescent="0.25">
      <c r="A63" s="45"/>
      <c r="B63" s="44" t="s">
        <v>69</v>
      </c>
      <c r="C63" s="50" t="s">
        <v>70</v>
      </c>
      <c r="D63" s="48"/>
      <c r="E63" s="47" t="s">
        <v>15</v>
      </c>
      <c r="F63" s="48"/>
      <c r="G63" s="21">
        <v>2</v>
      </c>
      <c r="H63" s="21">
        <v>2</v>
      </c>
      <c r="I63" s="21">
        <v>2</v>
      </c>
      <c r="J63" s="21">
        <v>2</v>
      </c>
      <c r="K63" s="21">
        <v>2</v>
      </c>
      <c r="L63" s="21">
        <v>2</v>
      </c>
      <c r="M63" s="21">
        <v>2</v>
      </c>
      <c r="N63" s="21">
        <v>2</v>
      </c>
      <c r="O63" s="21">
        <v>2</v>
      </c>
      <c r="P63" s="21">
        <v>2</v>
      </c>
      <c r="Q63" s="22">
        <v>2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</row>
    <row r="64" spans="1:22" x14ac:dyDescent="0.25">
      <c r="A64" s="45"/>
      <c r="B64" s="45"/>
      <c r="C64" s="50" t="s">
        <v>71</v>
      </c>
      <c r="D64" s="48"/>
      <c r="E64" s="47" t="s">
        <v>15</v>
      </c>
      <c r="F64" s="48"/>
      <c r="G64" s="21">
        <v>1</v>
      </c>
      <c r="H64" s="21">
        <v>1</v>
      </c>
      <c r="I64" s="21">
        <v>1</v>
      </c>
      <c r="J64" s="21">
        <v>1</v>
      </c>
      <c r="K64" s="21">
        <v>1</v>
      </c>
      <c r="L64" s="21">
        <v>1</v>
      </c>
      <c r="M64" s="21">
        <v>1</v>
      </c>
      <c r="N64" s="21">
        <v>1</v>
      </c>
      <c r="O64" s="21">
        <v>1</v>
      </c>
      <c r="P64" s="21">
        <v>1</v>
      </c>
      <c r="Q64" s="22">
        <v>1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</row>
    <row r="65" spans="1:22" x14ac:dyDescent="0.25">
      <c r="A65" s="45"/>
      <c r="B65" s="45"/>
      <c r="C65" s="50" t="s">
        <v>72</v>
      </c>
      <c r="D65" s="48"/>
      <c r="E65" s="47" t="s">
        <v>16</v>
      </c>
      <c r="F65" s="48"/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2">
        <v>1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</row>
    <row r="66" spans="1:22" x14ac:dyDescent="0.25">
      <c r="A66" s="45"/>
      <c r="B66" s="45"/>
      <c r="C66" s="50" t="s">
        <v>73</v>
      </c>
      <c r="D66" s="48"/>
      <c r="E66" s="47" t="s">
        <v>18</v>
      </c>
      <c r="F66" s="48"/>
      <c r="G66" s="21">
        <v>3</v>
      </c>
      <c r="H66" s="21">
        <v>3</v>
      </c>
      <c r="I66" s="21">
        <v>3</v>
      </c>
      <c r="J66" s="21">
        <v>3</v>
      </c>
      <c r="K66" s="21">
        <v>3</v>
      </c>
      <c r="L66" s="21">
        <v>3</v>
      </c>
      <c r="M66" s="21">
        <v>3</v>
      </c>
      <c r="N66" s="21">
        <v>3</v>
      </c>
      <c r="O66" s="21">
        <v>3</v>
      </c>
      <c r="P66" s="21">
        <v>3</v>
      </c>
      <c r="Q66" s="22">
        <v>3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</row>
    <row r="67" spans="1:22" x14ac:dyDescent="0.25">
      <c r="A67" s="45"/>
      <c r="B67" s="45"/>
      <c r="C67" s="50" t="s">
        <v>74</v>
      </c>
      <c r="D67" s="48"/>
      <c r="E67" s="47" t="s">
        <v>14</v>
      </c>
      <c r="F67" s="48"/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2">
        <v>2</v>
      </c>
      <c r="S67" s="21">
        <v>0</v>
      </c>
      <c r="T67" s="21">
        <v>0</v>
      </c>
      <c r="U67" s="21">
        <v>0</v>
      </c>
      <c r="V67" s="21">
        <v>0</v>
      </c>
    </row>
    <row r="68" spans="1:22" x14ac:dyDescent="0.25">
      <c r="A68" s="45"/>
      <c r="B68" s="45"/>
      <c r="C68" s="50" t="s">
        <v>75</v>
      </c>
      <c r="D68" s="48"/>
      <c r="E68" s="47" t="s">
        <v>15</v>
      </c>
      <c r="F68" s="48"/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>
        <v>1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2">
        <v>1</v>
      </c>
      <c r="S68" s="21">
        <v>0</v>
      </c>
      <c r="T68" s="21">
        <v>0</v>
      </c>
      <c r="U68" s="21">
        <v>0</v>
      </c>
      <c r="V68" s="21">
        <v>0</v>
      </c>
    </row>
    <row r="69" spans="1:22" x14ac:dyDescent="0.25">
      <c r="A69" s="45"/>
      <c r="B69" s="45"/>
      <c r="C69" s="50" t="s">
        <v>76</v>
      </c>
      <c r="D69" s="48"/>
      <c r="E69" s="47" t="s">
        <v>17</v>
      </c>
      <c r="F69" s="48"/>
      <c r="G69" s="21">
        <v>2</v>
      </c>
      <c r="H69" s="21">
        <v>2</v>
      </c>
      <c r="I69" s="21">
        <v>2</v>
      </c>
      <c r="J69" s="21">
        <v>2</v>
      </c>
      <c r="K69" s="21">
        <v>2</v>
      </c>
      <c r="L69" s="21">
        <v>2</v>
      </c>
      <c r="M69" s="21">
        <v>2</v>
      </c>
      <c r="N69" s="21">
        <v>2</v>
      </c>
      <c r="O69" s="21">
        <v>2</v>
      </c>
      <c r="P69" s="21">
        <v>2</v>
      </c>
      <c r="Q69" s="21">
        <v>2</v>
      </c>
      <c r="R69" s="22">
        <v>2</v>
      </c>
      <c r="S69" s="21">
        <v>0</v>
      </c>
      <c r="T69" s="21">
        <v>0</v>
      </c>
      <c r="U69" s="21">
        <v>0</v>
      </c>
      <c r="V69" s="21">
        <v>0</v>
      </c>
    </row>
    <row r="70" spans="1:22" x14ac:dyDescent="0.25">
      <c r="A70" s="45"/>
      <c r="B70" s="46"/>
      <c r="C70" s="50" t="s">
        <v>77</v>
      </c>
      <c r="D70" s="48"/>
      <c r="E70" s="47" t="s">
        <v>17</v>
      </c>
      <c r="F70" s="48"/>
      <c r="G70" s="21">
        <v>1</v>
      </c>
      <c r="H70" s="21">
        <v>1</v>
      </c>
      <c r="I70" s="21">
        <v>1</v>
      </c>
      <c r="J70" s="21">
        <v>1</v>
      </c>
      <c r="K70" s="21">
        <v>1</v>
      </c>
      <c r="L70" s="21">
        <v>1</v>
      </c>
      <c r="M70" s="21">
        <v>1</v>
      </c>
      <c r="N70" s="21">
        <v>1</v>
      </c>
      <c r="O70" s="21">
        <v>1</v>
      </c>
      <c r="P70" s="21">
        <v>1</v>
      </c>
      <c r="Q70" s="21">
        <v>1</v>
      </c>
      <c r="R70" s="22">
        <v>1</v>
      </c>
      <c r="S70" s="21">
        <v>0</v>
      </c>
      <c r="T70" s="21">
        <v>0</v>
      </c>
      <c r="U70" s="21">
        <v>0</v>
      </c>
      <c r="V70" s="21">
        <v>0</v>
      </c>
    </row>
    <row r="71" spans="1:22" x14ac:dyDescent="0.25">
      <c r="A71" s="45"/>
      <c r="B71" s="44" t="s">
        <v>78</v>
      </c>
      <c r="C71" s="50" t="s">
        <v>79</v>
      </c>
      <c r="D71" s="48"/>
      <c r="E71" s="47" t="s">
        <v>80</v>
      </c>
      <c r="F71" s="48"/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2">
        <v>1</v>
      </c>
      <c r="S71" s="21">
        <v>0</v>
      </c>
      <c r="T71" s="21">
        <v>0</v>
      </c>
      <c r="U71" s="21">
        <v>0</v>
      </c>
      <c r="V71" s="21">
        <v>0</v>
      </c>
    </row>
    <row r="72" spans="1:22" x14ac:dyDescent="0.25">
      <c r="A72" s="45"/>
      <c r="B72" s="45"/>
      <c r="C72" s="50" t="s">
        <v>81</v>
      </c>
      <c r="D72" s="48"/>
      <c r="E72" s="47" t="s">
        <v>82</v>
      </c>
      <c r="F72" s="48"/>
      <c r="G72" s="21">
        <v>1</v>
      </c>
      <c r="H72" s="21">
        <v>1</v>
      </c>
      <c r="I72" s="21">
        <v>1</v>
      </c>
      <c r="J72" s="21">
        <v>1</v>
      </c>
      <c r="K72" s="21">
        <v>1</v>
      </c>
      <c r="L72" s="21">
        <v>1</v>
      </c>
      <c r="M72" s="21">
        <v>1</v>
      </c>
      <c r="N72" s="21">
        <v>1</v>
      </c>
      <c r="O72" s="21">
        <v>1</v>
      </c>
      <c r="P72" s="21">
        <v>1</v>
      </c>
      <c r="Q72" s="21">
        <v>1</v>
      </c>
      <c r="R72" s="21">
        <v>1</v>
      </c>
      <c r="S72" s="22">
        <v>1</v>
      </c>
      <c r="T72" s="21">
        <v>0</v>
      </c>
      <c r="U72" s="21">
        <v>0</v>
      </c>
      <c r="V72" s="21">
        <v>0</v>
      </c>
    </row>
    <row r="73" spans="1:22" x14ac:dyDescent="0.25">
      <c r="A73" s="45"/>
      <c r="B73" s="45"/>
      <c r="C73" s="50" t="s">
        <v>83</v>
      </c>
      <c r="D73" s="48"/>
      <c r="E73" s="47" t="s">
        <v>27</v>
      </c>
      <c r="F73" s="48"/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2">
        <v>1</v>
      </c>
      <c r="T73" s="21">
        <v>0</v>
      </c>
      <c r="U73" s="21">
        <v>0</v>
      </c>
      <c r="V73" s="21">
        <v>0</v>
      </c>
    </row>
    <row r="74" spans="1:22" x14ac:dyDescent="0.25">
      <c r="A74" s="45"/>
      <c r="B74" s="45"/>
      <c r="C74" s="50" t="s">
        <v>84</v>
      </c>
      <c r="D74" s="48"/>
      <c r="E74" s="47" t="s">
        <v>29</v>
      </c>
      <c r="F74" s="48"/>
      <c r="G74" s="21">
        <v>2</v>
      </c>
      <c r="H74" s="21">
        <v>2</v>
      </c>
      <c r="I74" s="21">
        <v>2</v>
      </c>
      <c r="J74" s="21">
        <v>2</v>
      </c>
      <c r="K74" s="21">
        <v>2</v>
      </c>
      <c r="L74" s="21">
        <v>2</v>
      </c>
      <c r="M74" s="21">
        <v>2</v>
      </c>
      <c r="N74" s="21">
        <v>2</v>
      </c>
      <c r="O74" s="21">
        <v>2</v>
      </c>
      <c r="P74" s="21">
        <v>2</v>
      </c>
      <c r="Q74" s="21">
        <v>2</v>
      </c>
      <c r="R74" s="21">
        <v>2</v>
      </c>
      <c r="S74" s="22">
        <v>2</v>
      </c>
      <c r="T74" s="21">
        <v>0</v>
      </c>
      <c r="U74" s="21">
        <v>0</v>
      </c>
      <c r="V74" s="21">
        <v>0</v>
      </c>
    </row>
    <row r="75" spans="1:22" x14ac:dyDescent="0.25">
      <c r="A75" s="45"/>
      <c r="B75" s="45"/>
      <c r="C75" s="54" t="s">
        <v>85</v>
      </c>
      <c r="D75" s="48"/>
      <c r="E75" s="47" t="s">
        <v>86</v>
      </c>
      <c r="F75" s="48"/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2">
        <v>1</v>
      </c>
      <c r="T75" s="21">
        <v>0</v>
      </c>
      <c r="U75" s="21">
        <v>0</v>
      </c>
      <c r="V75" s="21">
        <v>0</v>
      </c>
    </row>
    <row r="76" spans="1:22" x14ac:dyDescent="0.25">
      <c r="A76" s="45"/>
      <c r="B76" s="45"/>
      <c r="C76" s="54" t="s">
        <v>87</v>
      </c>
      <c r="D76" s="48"/>
      <c r="E76" s="47" t="s">
        <v>82</v>
      </c>
      <c r="F76" s="48"/>
      <c r="G76" s="21">
        <v>1</v>
      </c>
      <c r="H76" s="21">
        <v>1</v>
      </c>
      <c r="I76" s="21">
        <v>1</v>
      </c>
      <c r="J76" s="21">
        <v>1</v>
      </c>
      <c r="K76" s="21">
        <v>1</v>
      </c>
      <c r="L76" s="21">
        <v>1</v>
      </c>
      <c r="M76" s="21">
        <v>1</v>
      </c>
      <c r="N76" s="21">
        <v>1</v>
      </c>
      <c r="O76" s="21">
        <v>1</v>
      </c>
      <c r="P76" s="21">
        <v>1</v>
      </c>
      <c r="Q76" s="21">
        <v>1</v>
      </c>
      <c r="R76" s="21">
        <v>1</v>
      </c>
      <c r="S76" s="21">
        <v>1</v>
      </c>
      <c r="T76" s="22">
        <v>1</v>
      </c>
      <c r="U76" s="21">
        <v>0</v>
      </c>
      <c r="V76" s="21">
        <v>0</v>
      </c>
    </row>
    <row r="77" spans="1:22" x14ac:dyDescent="0.25">
      <c r="A77" s="45"/>
      <c r="B77" s="45"/>
      <c r="C77" s="50" t="s">
        <v>88</v>
      </c>
      <c r="D77" s="48"/>
      <c r="E77" s="47" t="s">
        <v>89</v>
      </c>
      <c r="F77" s="48"/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>
        <v>1</v>
      </c>
      <c r="U77" s="21">
        <v>0</v>
      </c>
      <c r="V77" s="21">
        <v>0</v>
      </c>
    </row>
    <row r="78" spans="1:22" x14ac:dyDescent="0.25">
      <c r="A78" s="45"/>
      <c r="B78" s="46"/>
      <c r="C78" s="50" t="s">
        <v>90</v>
      </c>
      <c r="D78" s="48"/>
      <c r="E78" s="51" t="s">
        <v>91</v>
      </c>
      <c r="F78" s="48"/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2">
        <v>1</v>
      </c>
      <c r="U78" s="21">
        <v>0</v>
      </c>
      <c r="V78" s="21">
        <v>0</v>
      </c>
    </row>
    <row r="79" spans="1:22" x14ac:dyDescent="0.25">
      <c r="A79" s="45"/>
      <c r="B79" s="44" t="s">
        <v>92</v>
      </c>
      <c r="C79" s="50" t="s">
        <v>93</v>
      </c>
      <c r="D79" s="48"/>
      <c r="E79" s="51" t="s">
        <v>15</v>
      </c>
      <c r="F79" s="48"/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2">
        <v>1</v>
      </c>
      <c r="U79" s="21">
        <v>0</v>
      </c>
      <c r="V79" s="21">
        <v>0</v>
      </c>
    </row>
    <row r="80" spans="1:22" x14ac:dyDescent="0.25">
      <c r="A80" s="45"/>
      <c r="B80" s="45"/>
      <c r="C80" s="50" t="s">
        <v>94</v>
      </c>
      <c r="D80" s="48"/>
      <c r="E80" s="51" t="s">
        <v>15</v>
      </c>
      <c r="F80" s="48"/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2">
        <v>1</v>
      </c>
      <c r="U80" s="21">
        <v>0</v>
      </c>
      <c r="V80" s="21">
        <v>0</v>
      </c>
    </row>
    <row r="81" spans="1:22" x14ac:dyDescent="0.25">
      <c r="A81" s="45"/>
      <c r="B81" s="45"/>
      <c r="C81" s="50" t="s">
        <v>95</v>
      </c>
      <c r="D81" s="48"/>
      <c r="E81" s="51" t="s">
        <v>16</v>
      </c>
      <c r="F81" s="48"/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1">
        <v>1</v>
      </c>
      <c r="S81" s="21">
        <v>1</v>
      </c>
      <c r="T81" s="21">
        <v>1</v>
      </c>
      <c r="U81" s="22">
        <v>1</v>
      </c>
      <c r="V81" s="21">
        <v>0</v>
      </c>
    </row>
    <row r="82" spans="1:22" x14ac:dyDescent="0.25">
      <c r="A82" s="45"/>
      <c r="B82" s="45"/>
      <c r="C82" s="50" t="s">
        <v>96</v>
      </c>
      <c r="D82" s="48"/>
      <c r="E82" s="51" t="s">
        <v>18</v>
      </c>
      <c r="F82" s="48"/>
      <c r="G82" s="21">
        <v>2</v>
      </c>
      <c r="H82" s="21">
        <v>2</v>
      </c>
      <c r="I82" s="21">
        <v>2</v>
      </c>
      <c r="J82" s="21">
        <v>2</v>
      </c>
      <c r="K82" s="21">
        <v>2</v>
      </c>
      <c r="L82" s="21">
        <v>2</v>
      </c>
      <c r="M82" s="21">
        <v>2</v>
      </c>
      <c r="N82" s="21">
        <v>2</v>
      </c>
      <c r="O82" s="21">
        <v>2</v>
      </c>
      <c r="P82" s="21">
        <v>2</v>
      </c>
      <c r="Q82" s="21">
        <v>2</v>
      </c>
      <c r="R82" s="21">
        <v>2</v>
      </c>
      <c r="S82" s="21">
        <v>2</v>
      </c>
      <c r="T82" s="21">
        <v>2</v>
      </c>
      <c r="U82" s="22">
        <v>2</v>
      </c>
      <c r="V82" s="21">
        <v>0</v>
      </c>
    </row>
    <row r="83" spans="1:22" x14ac:dyDescent="0.25">
      <c r="A83" s="45"/>
      <c r="B83" s="45"/>
      <c r="C83" s="50" t="s">
        <v>97</v>
      </c>
      <c r="D83" s="48"/>
      <c r="E83" s="51" t="s">
        <v>14</v>
      </c>
      <c r="F83" s="48"/>
      <c r="G83" s="21">
        <v>1</v>
      </c>
      <c r="H83" s="21">
        <v>1</v>
      </c>
      <c r="I83" s="21">
        <v>1</v>
      </c>
      <c r="J83" s="21">
        <v>1</v>
      </c>
      <c r="K83" s="21">
        <v>1</v>
      </c>
      <c r="L83" s="21">
        <v>1</v>
      </c>
      <c r="M83" s="21">
        <v>1</v>
      </c>
      <c r="N83" s="21">
        <v>1</v>
      </c>
      <c r="O83" s="21">
        <v>1</v>
      </c>
      <c r="P83" s="21">
        <v>1</v>
      </c>
      <c r="Q83" s="21">
        <v>1</v>
      </c>
      <c r="R83" s="21">
        <v>1</v>
      </c>
      <c r="S83" s="21">
        <v>1</v>
      </c>
      <c r="T83" s="21">
        <v>1</v>
      </c>
      <c r="U83" s="22">
        <v>1</v>
      </c>
      <c r="V83" s="21">
        <v>0</v>
      </c>
    </row>
    <row r="84" spans="1:22" x14ac:dyDescent="0.25">
      <c r="A84" s="45"/>
      <c r="B84" s="45"/>
      <c r="C84" s="54" t="s">
        <v>98</v>
      </c>
      <c r="D84" s="48"/>
      <c r="E84" s="51" t="s">
        <v>15</v>
      </c>
      <c r="F84" s="48"/>
      <c r="G84" s="21">
        <v>1</v>
      </c>
      <c r="H84" s="21">
        <v>1</v>
      </c>
      <c r="I84" s="21">
        <v>1</v>
      </c>
      <c r="J84" s="21">
        <v>1</v>
      </c>
      <c r="K84" s="21">
        <v>1</v>
      </c>
      <c r="L84" s="21">
        <v>1</v>
      </c>
      <c r="M84" s="21">
        <v>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>
        <v>1</v>
      </c>
      <c r="T84" s="21">
        <v>1</v>
      </c>
      <c r="U84" s="22">
        <v>1</v>
      </c>
      <c r="V84" s="21">
        <v>0</v>
      </c>
    </row>
    <row r="85" spans="1:22" x14ac:dyDescent="0.25">
      <c r="A85" s="45"/>
      <c r="B85" s="45"/>
      <c r="C85" s="54" t="s">
        <v>99</v>
      </c>
      <c r="D85" s="48"/>
      <c r="E85" s="51" t="s">
        <v>17</v>
      </c>
      <c r="F85" s="48"/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1">
        <v>1</v>
      </c>
      <c r="T85" s="21">
        <v>1</v>
      </c>
      <c r="U85" s="22">
        <v>1</v>
      </c>
      <c r="V85" s="21">
        <v>0</v>
      </c>
    </row>
    <row r="86" spans="1:22" x14ac:dyDescent="0.25">
      <c r="A86" s="45"/>
      <c r="B86" s="46"/>
      <c r="C86" s="50" t="s">
        <v>100</v>
      </c>
      <c r="D86" s="48"/>
      <c r="E86" s="51" t="s">
        <v>17</v>
      </c>
      <c r="F86" s="48"/>
      <c r="G86" s="21">
        <v>1</v>
      </c>
      <c r="H86" s="21">
        <v>1</v>
      </c>
      <c r="I86" s="21">
        <v>1</v>
      </c>
      <c r="J86" s="21">
        <v>1</v>
      </c>
      <c r="K86" s="21">
        <v>1</v>
      </c>
      <c r="L86" s="21">
        <v>1</v>
      </c>
      <c r="M86" s="21">
        <v>1</v>
      </c>
      <c r="N86" s="21">
        <v>1</v>
      </c>
      <c r="O86" s="21">
        <v>1</v>
      </c>
      <c r="P86" s="21">
        <v>1</v>
      </c>
      <c r="Q86" s="21">
        <v>1</v>
      </c>
      <c r="R86" s="21">
        <v>1</v>
      </c>
      <c r="S86" s="21">
        <v>1</v>
      </c>
      <c r="T86" s="21">
        <v>1</v>
      </c>
      <c r="U86" s="21">
        <v>1</v>
      </c>
      <c r="V86" s="22">
        <v>1</v>
      </c>
    </row>
    <row r="87" spans="1:22" x14ac:dyDescent="0.25">
      <c r="A87" s="45"/>
      <c r="B87" s="44" t="s">
        <v>101</v>
      </c>
      <c r="C87" s="50" t="s">
        <v>102</v>
      </c>
      <c r="D87" s="48"/>
      <c r="E87" s="51" t="s">
        <v>25</v>
      </c>
      <c r="F87" s="48"/>
      <c r="G87" s="21">
        <v>5</v>
      </c>
      <c r="H87" s="21">
        <v>5</v>
      </c>
      <c r="I87" s="21">
        <v>5</v>
      </c>
      <c r="J87" s="21">
        <v>5</v>
      </c>
      <c r="K87" s="21">
        <v>5</v>
      </c>
      <c r="L87" s="21">
        <v>5</v>
      </c>
      <c r="M87" s="21">
        <v>5</v>
      </c>
      <c r="N87" s="21">
        <v>5</v>
      </c>
      <c r="O87" s="21">
        <v>5</v>
      </c>
      <c r="P87" s="21">
        <v>5</v>
      </c>
      <c r="Q87" s="21">
        <v>5</v>
      </c>
      <c r="R87" s="21">
        <v>5</v>
      </c>
      <c r="S87" s="21">
        <v>5</v>
      </c>
      <c r="T87" s="21">
        <v>5</v>
      </c>
      <c r="U87" s="21">
        <v>5</v>
      </c>
      <c r="V87" s="22">
        <v>5</v>
      </c>
    </row>
    <row r="88" spans="1:22" x14ac:dyDescent="0.25">
      <c r="A88" s="45"/>
      <c r="B88" s="46"/>
      <c r="C88" s="50" t="s">
        <v>103</v>
      </c>
      <c r="D88" s="48"/>
      <c r="E88" s="51" t="s">
        <v>25</v>
      </c>
      <c r="F88" s="48"/>
      <c r="G88" s="21">
        <v>5</v>
      </c>
      <c r="H88" s="21">
        <v>5</v>
      </c>
      <c r="I88" s="21">
        <v>5</v>
      </c>
      <c r="J88" s="21">
        <v>5</v>
      </c>
      <c r="K88" s="21">
        <v>5</v>
      </c>
      <c r="L88" s="21">
        <v>5</v>
      </c>
      <c r="M88" s="21">
        <v>5</v>
      </c>
      <c r="N88" s="21">
        <v>5</v>
      </c>
      <c r="O88" s="21">
        <v>5</v>
      </c>
      <c r="P88" s="21">
        <v>5</v>
      </c>
      <c r="Q88" s="21">
        <v>5</v>
      </c>
      <c r="R88" s="21">
        <v>5</v>
      </c>
      <c r="S88" s="21">
        <v>5</v>
      </c>
      <c r="T88" s="21">
        <v>5</v>
      </c>
      <c r="U88" s="21">
        <v>5</v>
      </c>
      <c r="V88" s="22">
        <v>5</v>
      </c>
    </row>
    <row r="89" spans="1:22" x14ac:dyDescent="0.25">
      <c r="A89" s="45"/>
      <c r="B89" s="38" t="s">
        <v>19</v>
      </c>
      <c r="C89" s="39"/>
      <c r="D89" s="40"/>
      <c r="E89" s="56" t="s">
        <v>12</v>
      </c>
      <c r="F89" s="48"/>
      <c r="G89" s="56">
        <v>146</v>
      </c>
      <c r="H89" s="48"/>
      <c r="I89" s="21">
        <v>146</v>
      </c>
      <c r="J89" s="21">
        <v>128</v>
      </c>
      <c r="K89" s="21">
        <v>120</v>
      </c>
      <c r="L89" s="21">
        <v>108</v>
      </c>
      <c r="M89" s="21">
        <v>103</v>
      </c>
      <c r="N89" s="21">
        <v>90</v>
      </c>
      <c r="O89" s="21">
        <v>78</v>
      </c>
      <c r="P89" s="21">
        <v>62</v>
      </c>
      <c r="Q89" s="21">
        <v>50</v>
      </c>
      <c r="R89" s="21">
        <v>34</v>
      </c>
      <c r="S89" s="21">
        <v>27</v>
      </c>
      <c r="T89" s="21">
        <v>22</v>
      </c>
      <c r="U89" s="21">
        <v>17</v>
      </c>
      <c r="V89" s="21">
        <v>11</v>
      </c>
    </row>
    <row r="90" spans="1:22" x14ac:dyDescent="0.25">
      <c r="A90" s="46"/>
      <c r="B90" s="41"/>
      <c r="C90" s="42"/>
      <c r="D90" s="43"/>
      <c r="E90" s="56" t="s">
        <v>13</v>
      </c>
      <c r="F90" s="48"/>
      <c r="G90" s="56">
        <v>149</v>
      </c>
      <c r="H90" s="48"/>
      <c r="I90" s="21">
        <v>149</v>
      </c>
      <c r="J90" s="21">
        <v>131</v>
      </c>
      <c r="K90" s="21">
        <v>123</v>
      </c>
      <c r="L90" s="21">
        <v>110</v>
      </c>
      <c r="M90" s="21">
        <v>105</v>
      </c>
      <c r="N90" s="21">
        <v>91</v>
      </c>
      <c r="O90" s="21">
        <v>79</v>
      </c>
      <c r="P90" s="21">
        <v>63</v>
      </c>
      <c r="Q90" s="21">
        <v>50</v>
      </c>
      <c r="R90" s="21">
        <v>34</v>
      </c>
      <c r="S90" s="21">
        <v>27</v>
      </c>
      <c r="T90" s="21">
        <v>22</v>
      </c>
      <c r="U90" s="21">
        <v>17</v>
      </c>
      <c r="V90" s="21">
        <v>11</v>
      </c>
    </row>
  </sheetData>
  <mergeCells count="167">
    <mergeCell ref="A2:B2"/>
    <mergeCell ref="B30:B40"/>
    <mergeCell ref="E45:F45"/>
    <mergeCell ref="C52:D52"/>
    <mergeCell ref="C39:D39"/>
    <mergeCell ref="B16:D16"/>
    <mergeCell ref="C72:D72"/>
    <mergeCell ref="C81:D81"/>
    <mergeCell ref="C37:D37"/>
    <mergeCell ref="B18:D18"/>
    <mergeCell ref="E37:F37"/>
    <mergeCell ref="A16:A90"/>
    <mergeCell ref="C78:D78"/>
    <mergeCell ref="E47:F47"/>
    <mergeCell ref="C87:D87"/>
    <mergeCell ref="A4:B4"/>
    <mergeCell ref="C32:D32"/>
    <mergeCell ref="E54:F54"/>
    <mergeCell ref="C38:D38"/>
    <mergeCell ref="E32:F32"/>
    <mergeCell ref="E21:F21"/>
    <mergeCell ref="E72:F72"/>
    <mergeCell ref="E41:F41"/>
    <mergeCell ref="E81:F81"/>
    <mergeCell ref="E56:F56"/>
    <mergeCell ref="C49:D49"/>
    <mergeCell ref="E43:F43"/>
    <mergeCell ref="C24:D24"/>
    <mergeCell ref="E24:F24"/>
    <mergeCell ref="C33:D33"/>
    <mergeCell ref="E33:F33"/>
    <mergeCell ref="C42:D42"/>
    <mergeCell ref="E42:F42"/>
    <mergeCell ref="C74:D74"/>
    <mergeCell ref="E17:F17"/>
    <mergeCell ref="C26:D26"/>
    <mergeCell ref="C35:D35"/>
    <mergeCell ref="E35:F35"/>
    <mergeCell ref="C25:D25"/>
    <mergeCell ref="E15:F15"/>
    <mergeCell ref="E86:F86"/>
    <mergeCell ref="C51:D51"/>
    <mergeCell ref="E80:F80"/>
    <mergeCell ref="E89:F89"/>
    <mergeCell ref="C61:D61"/>
    <mergeCell ref="G89:H89"/>
    <mergeCell ref="E61:F61"/>
    <mergeCell ref="C70:D70"/>
    <mergeCell ref="C48:D48"/>
    <mergeCell ref="C23:D23"/>
    <mergeCell ref="E70:F70"/>
    <mergeCell ref="E57:F57"/>
    <mergeCell ref="C88:D88"/>
    <mergeCell ref="E88:F88"/>
    <mergeCell ref="E82:F82"/>
    <mergeCell ref="E19:F19"/>
    <mergeCell ref="C55:D55"/>
    <mergeCell ref="E28:F28"/>
    <mergeCell ref="E60:F60"/>
    <mergeCell ref="E74:F74"/>
    <mergeCell ref="E30:F30"/>
    <mergeCell ref="B6:E6"/>
    <mergeCell ref="C58:D58"/>
    <mergeCell ref="E83:F83"/>
    <mergeCell ref="E52:F52"/>
    <mergeCell ref="A1:B1"/>
    <mergeCell ref="E39:F39"/>
    <mergeCell ref="E44:F44"/>
    <mergeCell ref="B19:B29"/>
    <mergeCell ref="C20:D20"/>
    <mergeCell ref="E20:F20"/>
    <mergeCell ref="C29:D29"/>
    <mergeCell ref="E29:F29"/>
    <mergeCell ref="C65:D65"/>
    <mergeCell ref="C44:D44"/>
    <mergeCell ref="C22:D22"/>
    <mergeCell ref="E69:F69"/>
    <mergeCell ref="C75:D75"/>
    <mergeCell ref="C31:D31"/>
    <mergeCell ref="C80:D80"/>
    <mergeCell ref="A3:B3"/>
    <mergeCell ref="E31:F31"/>
    <mergeCell ref="E78:F78"/>
    <mergeCell ref="C59:D59"/>
    <mergeCell ref="E59:F59"/>
    <mergeCell ref="E16:F16"/>
    <mergeCell ref="C82:D82"/>
    <mergeCell ref="E76:F76"/>
    <mergeCell ref="E25:F25"/>
    <mergeCell ref="G90:H90"/>
    <mergeCell ref="C57:D57"/>
    <mergeCell ref="C66:D66"/>
    <mergeCell ref="E66:F66"/>
    <mergeCell ref="C53:D53"/>
    <mergeCell ref="E18:F18"/>
    <mergeCell ref="E58:F58"/>
    <mergeCell ref="C77:D77"/>
    <mergeCell ref="C34:D34"/>
    <mergeCell ref="E50:F50"/>
    <mergeCell ref="C86:D86"/>
    <mergeCell ref="C68:D68"/>
    <mergeCell ref="E68:F68"/>
    <mergeCell ref="C85:D85"/>
    <mergeCell ref="C84:D84"/>
    <mergeCell ref="E84:F84"/>
    <mergeCell ref="C46:D46"/>
    <mergeCell ref="E77:F77"/>
    <mergeCell ref="C21:D21"/>
    <mergeCell ref="E46:F46"/>
    <mergeCell ref="C47:D47"/>
    <mergeCell ref="C40:D40"/>
    <mergeCell ref="B71:B78"/>
    <mergeCell ref="E40:F40"/>
    <mergeCell ref="E90:F90"/>
    <mergeCell ref="C60:D60"/>
    <mergeCell ref="C71:D71"/>
    <mergeCell ref="E26:F26"/>
    <mergeCell ref="B41:B62"/>
    <mergeCell ref="B87:B88"/>
    <mergeCell ref="B13:C13"/>
    <mergeCell ref="C43:D43"/>
    <mergeCell ref="C27:D27"/>
    <mergeCell ref="E49:F49"/>
    <mergeCell ref="C76:D76"/>
    <mergeCell ref="E27:F27"/>
    <mergeCell ref="C36:D36"/>
    <mergeCell ref="E36:F36"/>
    <mergeCell ref="E85:F85"/>
    <mergeCell ref="C67:D67"/>
    <mergeCell ref="C19:D19"/>
    <mergeCell ref="C28:D28"/>
    <mergeCell ref="E75:F75"/>
    <mergeCell ref="E22:F22"/>
    <mergeCell ref="E53:F53"/>
    <mergeCell ref="C69:D69"/>
    <mergeCell ref="C83:D83"/>
    <mergeCell ref="C30:D30"/>
    <mergeCell ref="E55:F55"/>
    <mergeCell ref="E67:F67"/>
    <mergeCell ref="B17:D17"/>
    <mergeCell ref="C45:D45"/>
    <mergeCell ref="E48:F48"/>
    <mergeCell ref="E38:F38"/>
    <mergeCell ref="B89:D90"/>
    <mergeCell ref="B79:B86"/>
    <mergeCell ref="C62:D62"/>
    <mergeCell ref="E62:F62"/>
    <mergeCell ref="C15:D15"/>
    <mergeCell ref="E71:F71"/>
    <mergeCell ref="E23:F23"/>
    <mergeCell ref="B63:B70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C41:D41"/>
    <mergeCell ref="E63:F63"/>
    <mergeCell ref="C50:D50"/>
    <mergeCell ref="C56:D56"/>
    <mergeCell ref="E65:F65"/>
    <mergeCell ref="E34:F34"/>
  </mergeCells>
  <pageMargins left="0.7" right="0.7" top="0.75" bottom="0.75" header="0.3" footer="0.3"/>
  <pageSetup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0"/>
  <sheetViews>
    <sheetView topLeftCell="A56" zoomScale="27" zoomScaleNormal="70" workbookViewId="0">
      <selection activeCell="B109" sqref="B109"/>
    </sheetView>
  </sheetViews>
  <sheetFormatPr defaultRowHeight="15" x14ac:dyDescent="0.25"/>
  <cols>
    <col min="1" max="1" width="13.5703125" customWidth="1"/>
    <col min="2" max="2" width="21.140625" customWidth="1"/>
    <col min="3" max="3" width="55.85546875" customWidth="1"/>
    <col min="4" max="4" width="12" customWidth="1"/>
    <col min="5" max="5" width="10.28515625" customWidth="1"/>
    <col min="6" max="6" width="20.140625" customWidth="1"/>
    <col min="7" max="8" width="6.140625" customWidth="1"/>
    <col min="9" max="19" width="6" customWidth="1"/>
    <col min="20" max="20" width="6.140625" customWidth="1"/>
    <col min="21" max="28" width="6" customWidth="1"/>
    <col min="29" max="29" width="6.140625" customWidth="1"/>
  </cols>
  <sheetData>
    <row r="1" spans="1:59" ht="17.45" customHeight="1" thickBot="1" x14ac:dyDescent="0.3">
      <c r="A1" s="58" t="s">
        <v>0</v>
      </c>
      <c r="B1" s="53"/>
      <c r="C1" s="5" t="s">
        <v>1</v>
      </c>
      <c r="D1" s="1"/>
      <c r="E1" s="10"/>
      <c r="F1" s="11" t="s">
        <v>104</v>
      </c>
    </row>
    <row r="2" spans="1:59" ht="17.45" customHeight="1" thickBot="1" x14ac:dyDescent="0.3">
      <c r="A2" s="58" t="s">
        <v>3</v>
      </c>
      <c r="B2" s="53"/>
      <c r="C2" s="3" t="s">
        <v>105</v>
      </c>
      <c r="D2" s="1"/>
      <c r="E2" s="12"/>
      <c r="F2" s="13" t="s">
        <v>106</v>
      </c>
    </row>
    <row r="3" spans="1:59" ht="17.45" customHeight="1" thickBot="1" x14ac:dyDescent="0.3">
      <c r="A3" s="58" t="s">
        <v>6</v>
      </c>
      <c r="B3" s="53"/>
      <c r="C3" s="4">
        <v>46113</v>
      </c>
      <c r="D3" s="1"/>
      <c r="E3" s="14"/>
      <c r="F3" s="13" t="s">
        <v>5</v>
      </c>
    </row>
    <row r="4" spans="1:59" ht="18" customHeight="1" thickBot="1" x14ac:dyDescent="0.3">
      <c r="A4" s="58" t="s">
        <v>8</v>
      </c>
      <c r="B4" s="53"/>
      <c r="C4" s="4">
        <v>46136</v>
      </c>
      <c r="D4" s="1"/>
      <c r="E4" s="15"/>
      <c r="F4" s="13" t="s">
        <v>107</v>
      </c>
    </row>
    <row r="5" spans="1:59" ht="18" customHeight="1" thickBot="1" x14ac:dyDescent="0.3">
      <c r="A5" s="1"/>
      <c r="B5" s="1"/>
      <c r="C5" s="1"/>
      <c r="D5" s="1"/>
      <c r="E5" s="16"/>
      <c r="F5" s="17" t="s">
        <v>7</v>
      </c>
    </row>
    <row r="6" spans="1:59" ht="17.45" customHeight="1" thickBot="1" x14ac:dyDescent="0.3">
      <c r="A6" s="1"/>
      <c r="B6" s="62" t="s">
        <v>108</v>
      </c>
      <c r="C6" s="57"/>
      <c r="D6" s="57"/>
      <c r="E6" s="53"/>
    </row>
    <row r="7" spans="1:59" ht="17.45" customHeight="1" thickBot="1" x14ac:dyDescent="0.3">
      <c r="A7" s="1"/>
      <c r="B7" s="7" t="s">
        <v>10</v>
      </c>
      <c r="C7" s="7" t="s">
        <v>11</v>
      </c>
      <c r="D7" s="7" t="s">
        <v>12</v>
      </c>
      <c r="E7" s="7" t="s">
        <v>13</v>
      </c>
    </row>
    <row r="8" spans="1:59" ht="17.45" customHeight="1" thickBot="1" x14ac:dyDescent="0.3">
      <c r="A8" s="1"/>
      <c r="B8" s="9">
        <v>1</v>
      </c>
      <c r="C8" s="3" t="s">
        <v>14</v>
      </c>
      <c r="D8" s="3">
        <v>52.2</v>
      </c>
      <c r="E8" s="3">
        <v>50.6</v>
      </c>
    </row>
    <row r="9" spans="1:59" ht="17.45" customHeight="1" thickBot="1" x14ac:dyDescent="0.3">
      <c r="A9" s="1"/>
      <c r="B9" s="9">
        <v>2</v>
      </c>
      <c r="C9" s="3" t="s">
        <v>15</v>
      </c>
      <c r="D9" s="3">
        <v>22.2</v>
      </c>
      <c r="E9" s="3">
        <v>22.6</v>
      </c>
    </row>
    <row r="10" spans="1:59" ht="17.45" customHeight="1" thickBot="1" x14ac:dyDescent="0.3">
      <c r="A10" s="1"/>
      <c r="B10" s="9">
        <v>3</v>
      </c>
      <c r="C10" s="3" t="s">
        <v>16</v>
      </c>
      <c r="D10" s="3">
        <v>20.2</v>
      </c>
      <c r="E10" s="3">
        <v>20.6</v>
      </c>
    </row>
    <row r="11" spans="1:59" ht="17.45" customHeight="1" thickBot="1" x14ac:dyDescent="0.3">
      <c r="A11" s="1"/>
      <c r="B11" s="9">
        <v>4</v>
      </c>
      <c r="C11" s="3" t="s">
        <v>17</v>
      </c>
      <c r="D11" s="3">
        <v>49.7</v>
      </c>
      <c r="E11" s="3">
        <v>50.1</v>
      </c>
    </row>
    <row r="12" spans="1:59" ht="17.45" customHeight="1" thickBot="1" x14ac:dyDescent="0.3">
      <c r="A12" s="1"/>
      <c r="B12" s="9">
        <v>5</v>
      </c>
      <c r="C12" s="3" t="s">
        <v>18</v>
      </c>
      <c r="D12" s="3">
        <v>36.700000000000003</v>
      </c>
      <c r="E12" s="3">
        <v>40.1</v>
      </c>
    </row>
    <row r="13" spans="1:59" ht="17.45" customHeight="1" thickBot="1" x14ac:dyDescent="0.3">
      <c r="A13" s="1"/>
      <c r="B13" s="52" t="s">
        <v>19</v>
      </c>
      <c r="C13" s="53"/>
      <c r="D13" s="6">
        <v>181</v>
      </c>
      <c r="E13" s="6">
        <v>184</v>
      </c>
    </row>
    <row r="15" spans="1:59" ht="63.75" customHeight="1" x14ac:dyDescent="0.25">
      <c r="A15" s="25" t="s">
        <v>20</v>
      </c>
      <c r="B15" s="25" t="s">
        <v>21</v>
      </c>
      <c r="C15" s="59" t="s">
        <v>22</v>
      </c>
      <c r="D15" s="48"/>
      <c r="E15" s="59" t="s">
        <v>23</v>
      </c>
      <c r="F15" s="48"/>
      <c r="G15" s="19" t="s">
        <v>12</v>
      </c>
      <c r="H15" s="19" t="s">
        <v>13</v>
      </c>
      <c r="I15" s="20">
        <v>46113</v>
      </c>
      <c r="J15" s="20">
        <v>46114</v>
      </c>
      <c r="K15" s="20">
        <v>46115</v>
      </c>
      <c r="L15" s="20">
        <v>46116</v>
      </c>
      <c r="M15" s="20">
        <v>46118</v>
      </c>
      <c r="N15" s="20">
        <v>46119</v>
      </c>
      <c r="O15" s="20">
        <v>46120</v>
      </c>
      <c r="P15" s="20">
        <v>46121</v>
      </c>
      <c r="Q15" s="20">
        <v>46122</v>
      </c>
      <c r="R15" s="20">
        <v>46123</v>
      </c>
      <c r="S15" s="20">
        <v>46125</v>
      </c>
      <c r="T15" s="20">
        <v>46126</v>
      </c>
      <c r="U15" s="20">
        <v>46127</v>
      </c>
      <c r="V15" s="20">
        <v>46128</v>
      </c>
      <c r="W15" s="20">
        <v>46129</v>
      </c>
      <c r="X15" s="20">
        <v>46130</v>
      </c>
      <c r="Y15" s="20">
        <v>46131</v>
      </c>
      <c r="Z15" s="20">
        <v>46133</v>
      </c>
      <c r="AA15" s="20">
        <v>46134</v>
      </c>
      <c r="AB15" s="20">
        <v>46135</v>
      </c>
      <c r="AC15" s="20">
        <v>46136</v>
      </c>
      <c r="AD15" s="20">
        <v>45615</v>
      </c>
      <c r="AE15" s="8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59" ht="16.899999999999999" customHeight="1" x14ac:dyDescent="0.25">
      <c r="A16" s="44"/>
      <c r="B16" s="50" t="s">
        <v>24</v>
      </c>
      <c r="C16" s="55"/>
      <c r="D16" s="48"/>
      <c r="E16" s="47" t="s">
        <v>25</v>
      </c>
      <c r="F16" s="48"/>
      <c r="G16" s="21">
        <v>10</v>
      </c>
      <c r="H16" s="21">
        <v>10</v>
      </c>
      <c r="I16" s="22">
        <v>10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</row>
    <row r="17" spans="1:30" ht="16.899999999999999" customHeight="1" x14ac:dyDescent="0.25">
      <c r="A17" s="45"/>
      <c r="B17" s="50" t="s">
        <v>109</v>
      </c>
      <c r="C17" s="55"/>
      <c r="D17" s="48"/>
      <c r="E17" s="47" t="s">
        <v>27</v>
      </c>
      <c r="F17" s="48"/>
      <c r="G17" s="21">
        <v>4</v>
      </c>
      <c r="H17" s="21">
        <v>4</v>
      </c>
      <c r="I17" s="22">
        <v>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</row>
    <row r="18" spans="1:30" ht="16.899999999999999" customHeight="1" x14ac:dyDescent="0.25">
      <c r="A18" s="45"/>
      <c r="B18" s="47"/>
      <c r="C18" s="55"/>
      <c r="D18" s="48"/>
      <c r="E18" s="47"/>
      <c r="F18" s="48"/>
      <c r="G18" s="21"/>
      <c r="H18" s="21"/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/>
    </row>
    <row r="19" spans="1:30" ht="16.899999999999999" customHeight="1" x14ac:dyDescent="0.25">
      <c r="A19" s="45"/>
      <c r="B19" s="50" t="s">
        <v>28</v>
      </c>
      <c r="C19" s="55"/>
      <c r="D19" s="48"/>
      <c r="E19" s="47" t="s">
        <v>29</v>
      </c>
      <c r="F19" s="48"/>
      <c r="G19" s="21">
        <v>4</v>
      </c>
      <c r="H19" s="21">
        <v>4</v>
      </c>
      <c r="I19" s="21">
        <v>4</v>
      </c>
      <c r="J19" s="22">
        <v>4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</row>
    <row r="20" spans="1:30" ht="17.25" customHeight="1" x14ac:dyDescent="0.25">
      <c r="A20" s="45"/>
      <c r="B20" s="44" t="s">
        <v>30</v>
      </c>
      <c r="C20" s="50" t="s">
        <v>110</v>
      </c>
      <c r="D20" s="48"/>
      <c r="E20" s="47" t="s">
        <v>18</v>
      </c>
      <c r="F20" s="48"/>
      <c r="G20" s="21">
        <v>1</v>
      </c>
      <c r="H20" s="21">
        <v>1</v>
      </c>
      <c r="I20" s="21">
        <v>1</v>
      </c>
      <c r="J20" s="22">
        <v>1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</row>
    <row r="21" spans="1:30" ht="16.899999999999999" customHeight="1" x14ac:dyDescent="0.25">
      <c r="A21" s="45"/>
      <c r="B21" s="45"/>
      <c r="C21" s="50" t="s">
        <v>111</v>
      </c>
      <c r="D21" s="48"/>
      <c r="E21" s="47" t="s">
        <v>14</v>
      </c>
      <c r="F21" s="48"/>
      <c r="G21" s="21">
        <v>3</v>
      </c>
      <c r="H21" s="21">
        <v>2</v>
      </c>
      <c r="I21" s="21">
        <v>3</v>
      </c>
      <c r="J21" s="21">
        <v>3</v>
      </c>
      <c r="K21" s="24">
        <v>3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</row>
    <row r="22" spans="1:30" ht="16.899999999999999" customHeight="1" x14ac:dyDescent="0.25">
      <c r="A22" s="45"/>
      <c r="B22" s="45"/>
      <c r="C22" s="50" t="s">
        <v>112</v>
      </c>
      <c r="D22" s="48"/>
      <c r="E22" s="47" t="s">
        <v>15</v>
      </c>
      <c r="F22" s="48"/>
      <c r="G22" s="21">
        <v>2</v>
      </c>
      <c r="H22" s="21">
        <v>2</v>
      </c>
      <c r="I22" s="21">
        <v>2</v>
      </c>
      <c r="J22" s="21">
        <v>2</v>
      </c>
      <c r="K22" s="22">
        <v>2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</row>
    <row r="23" spans="1:30" ht="16.899999999999999" customHeight="1" x14ac:dyDescent="0.25">
      <c r="A23" s="45"/>
      <c r="B23" s="45"/>
      <c r="C23" s="50" t="s">
        <v>113</v>
      </c>
      <c r="D23" s="48"/>
      <c r="E23" s="47" t="s">
        <v>18</v>
      </c>
      <c r="F23" s="48"/>
      <c r="G23" s="21">
        <v>1</v>
      </c>
      <c r="H23" s="21">
        <v>1</v>
      </c>
      <c r="I23" s="21">
        <v>1</v>
      </c>
      <c r="J23" s="21">
        <v>1</v>
      </c>
      <c r="K23" s="22">
        <v>1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</row>
    <row r="24" spans="1:30" ht="16.899999999999999" customHeight="1" x14ac:dyDescent="0.25">
      <c r="A24" s="45"/>
      <c r="B24" s="45"/>
      <c r="C24" s="50" t="s">
        <v>114</v>
      </c>
      <c r="D24" s="48"/>
      <c r="E24" s="47" t="s">
        <v>17</v>
      </c>
      <c r="F24" s="48"/>
      <c r="G24" s="21">
        <v>1</v>
      </c>
      <c r="H24" s="21">
        <v>1</v>
      </c>
      <c r="I24" s="21">
        <v>1</v>
      </c>
      <c r="J24" s="21">
        <v>1</v>
      </c>
      <c r="K24" s="22">
        <v>1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</row>
    <row r="25" spans="1:30" ht="16.899999999999999" customHeight="1" x14ac:dyDescent="0.25">
      <c r="A25" s="45"/>
      <c r="B25" s="45"/>
      <c r="C25" s="50" t="s">
        <v>115</v>
      </c>
      <c r="D25" s="48"/>
      <c r="E25" s="47" t="s">
        <v>18</v>
      </c>
      <c r="F25" s="48"/>
      <c r="G25" s="21">
        <v>1</v>
      </c>
      <c r="H25" s="21">
        <v>1</v>
      </c>
      <c r="I25" s="21">
        <v>1</v>
      </c>
      <c r="J25" s="21">
        <v>1</v>
      </c>
      <c r="K25" s="22">
        <v>1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</row>
    <row r="26" spans="1:30" ht="16.899999999999999" customHeight="1" x14ac:dyDescent="0.25">
      <c r="A26" s="45"/>
      <c r="B26" s="45"/>
      <c r="C26" s="54" t="s">
        <v>116</v>
      </c>
      <c r="D26" s="48"/>
      <c r="E26" s="47" t="s">
        <v>14</v>
      </c>
      <c r="F26" s="48"/>
      <c r="G26" s="21">
        <v>3</v>
      </c>
      <c r="H26" s="21">
        <v>3</v>
      </c>
      <c r="I26" s="21">
        <v>3</v>
      </c>
      <c r="J26" s="21">
        <v>3</v>
      </c>
      <c r="K26" s="21">
        <v>3</v>
      </c>
      <c r="L26" s="22">
        <v>3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/>
    </row>
    <row r="27" spans="1:30" ht="16.899999999999999" customHeight="1" x14ac:dyDescent="0.25">
      <c r="A27" s="45"/>
      <c r="B27" s="45"/>
      <c r="C27" s="50" t="s">
        <v>117</v>
      </c>
      <c r="D27" s="48"/>
      <c r="E27" s="47" t="s">
        <v>18</v>
      </c>
      <c r="F27" s="48"/>
      <c r="G27" s="21">
        <v>2</v>
      </c>
      <c r="H27" s="21">
        <v>2</v>
      </c>
      <c r="I27" s="21">
        <v>2</v>
      </c>
      <c r="J27" s="21">
        <v>2</v>
      </c>
      <c r="K27" s="21">
        <v>2</v>
      </c>
      <c r="L27" s="22">
        <v>2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/>
    </row>
    <row r="28" spans="1:30" ht="16.899999999999999" customHeight="1" x14ac:dyDescent="0.25">
      <c r="A28" s="45"/>
      <c r="B28" s="45"/>
      <c r="C28" s="54" t="s">
        <v>118</v>
      </c>
      <c r="D28" s="48"/>
      <c r="E28" s="47" t="s">
        <v>17</v>
      </c>
      <c r="F28" s="48"/>
      <c r="G28" s="21">
        <v>1</v>
      </c>
      <c r="H28" s="21">
        <v>1</v>
      </c>
      <c r="I28" s="21">
        <v>1</v>
      </c>
      <c r="J28" s="21">
        <v>1</v>
      </c>
      <c r="K28" s="21">
        <v>1</v>
      </c>
      <c r="L28" s="22">
        <v>1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/>
    </row>
    <row r="29" spans="1:30" ht="16.899999999999999" customHeight="1" x14ac:dyDescent="0.25">
      <c r="A29" s="45"/>
      <c r="B29" s="45"/>
      <c r="C29" s="50" t="s">
        <v>119</v>
      </c>
      <c r="D29" s="48"/>
      <c r="E29" s="47" t="s">
        <v>25</v>
      </c>
      <c r="F29" s="48"/>
      <c r="G29" s="21">
        <v>8</v>
      </c>
      <c r="H29" s="21">
        <v>9</v>
      </c>
      <c r="I29" s="21">
        <v>8</v>
      </c>
      <c r="J29" s="21">
        <v>8</v>
      </c>
      <c r="K29" s="21">
        <v>8</v>
      </c>
      <c r="L29" s="23">
        <v>8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</row>
    <row r="30" spans="1:30" ht="16.899999999999999" customHeight="1" x14ac:dyDescent="0.25">
      <c r="A30" s="45"/>
      <c r="B30" s="46"/>
      <c r="C30" s="47"/>
      <c r="D30" s="48"/>
      <c r="E30" s="47"/>
      <c r="F30" s="48"/>
      <c r="G30" s="21"/>
      <c r="H30" s="21"/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/>
    </row>
    <row r="31" spans="1:30" ht="16.899999999999999" customHeight="1" x14ac:dyDescent="0.25">
      <c r="A31" s="45"/>
      <c r="B31" s="44" t="s">
        <v>40</v>
      </c>
      <c r="C31" s="50" t="s">
        <v>120</v>
      </c>
      <c r="D31" s="48"/>
      <c r="E31" s="47" t="s">
        <v>14</v>
      </c>
      <c r="F31" s="48"/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2">
        <v>1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</row>
    <row r="32" spans="1:30" ht="16.899999999999999" customHeight="1" x14ac:dyDescent="0.25">
      <c r="A32" s="45"/>
      <c r="B32" s="45"/>
      <c r="C32" s="50" t="s">
        <v>121</v>
      </c>
      <c r="D32" s="48"/>
      <c r="E32" s="47" t="s">
        <v>16</v>
      </c>
      <c r="F32" s="48"/>
      <c r="G32" s="21">
        <v>2</v>
      </c>
      <c r="H32" s="21">
        <v>2</v>
      </c>
      <c r="I32" s="21">
        <v>2</v>
      </c>
      <c r="J32" s="21">
        <v>2</v>
      </c>
      <c r="K32" s="21">
        <v>2</v>
      </c>
      <c r="L32" s="21">
        <v>2</v>
      </c>
      <c r="M32" s="22">
        <v>2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</row>
    <row r="33" spans="1:30" ht="16.899999999999999" customHeight="1" x14ac:dyDescent="0.25">
      <c r="A33" s="45"/>
      <c r="B33" s="45"/>
      <c r="C33" s="47"/>
      <c r="D33" s="48"/>
      <c r="E33" s="47"/>
      <c r="F33" s="48"/>
      <c r="G33" s="21"/>
      <c r="H33" s="21"/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/>
    </row>
    <row r="34" spans="1:30" ht="16.899999999999999" customHeight="1" x14ac:dyDescent="0.25">
      <c r="A34" s="45"/>
      <c r="B34" s="45"/>
      <c r="C34" s="50" t="s">
        <v>122</v>
      </c>
      <c r="D34" s="48"/>
      <c r="E34" s="47" t="s">
        <v>17</v>
      </c>
      <c r="F34" s="48"/>
      <c r="G34" s="21">
        <v>2</v>
      </c>
      <c r="H34" s="21">
        <v>1</v>
      </c>
      <c r="I34" s="21">
        <v>2</v>
      </c>
      <c r="J34" s="21">
        <v>2</v>
      </c>
      <c r="K34" s="21">
        <v>2</v>
      </c>
      <c r="L34" s="21">
        <v>2</v>
      </c>
      <c r="M34" s="21">
        <v>2</v>
      </c>
      <c r="N34" s="24">
        <v>2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</row>
    <row r="35" spans="1:30" ht="16.899999999999999" customHeight="1" x14ac:dyDescent="0.25">
      <c r="A35" s="45"/>
      <c r="B35" s="45"/>
      <c r="C35" s="50" t="s">
        <v>123</v>
      </c>
      <c r="D35" s="48"/>
      <c r="E35" s="47" t="s">
        <v>17</v>
      </c>
      <c r="F35" s="48"/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>
        <v>1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</row>
    <row r="36" spans="1:30" ht="16.899999999999999" customHeight="1" x14ac:dyDescent="0.25">
      <c r="A36" s="45"/>
      <c r="B36" s="45"/>
      <c r="C36" s="50" t="s">
        <v>124</v>
      </c>
      <c r="D36" s="48"/>
      <c r="E36" s="47" t="s">
        <v>14</v>
      </c>
      <c r="F36" s="48"/>
      <c r="G36" s="21">
        <v>1</v>
      </c>
      <c r="H36" s="21">
        <v>1</v>
      </c>
      <c r="I36" s="21">
        <v>1</v>
      </c>
      <c r="J36" s="21">
        <v>1</v>
      </c>
      <c r="K36" s="21">
        <v>1</v>
      </c>
      <c r="L36" s="21">
        <v>1</v>
      </c>
      <c r="M36" s="21">
        <v>1</v>
      </c>
      <c r="N36" s="22">
        <v>1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</row>
    <row r="37" spans="1:30" ht="16.899999999999999" customHeight="1" x14ac:dyDescent="0.25">
      <c r="A37" s="45"/>
      <c r="B37" s="45"/>
      <c r="C37" s="50" t="s">
        <v>125</v>
      </c>
      <c r="D37" s="48"/>
      <c r="E37" s="47" t="s">
        <v>15</v>
      </c>
      <c r="F37" s="48"/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>
        <v>1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</row>
    <row r="38" spans="1:30" ht="16.899999999999999" customHeight="1" x14ac:dyDescent="0.25">
      <c r="A38" s="45"/>
      <c r="B38" s="45"/>
      <c r="C38" s="50" t="s">
        <v>126</v>
      </c>
      <c r="D38" s="48"/>
      <c r="E38" s="47" t="s">
        <v>17</v>
      </c>
      <c r="F38" s="48"/>
      <c r="G38" s="21">
        <v>3</v>
      </c>
      <c r="H38" s="21">
        <v>3</v>
      </c>
      <c r="I38" s="21">
        <v>3</v>
      </c>
      <c r="J38" s="21">
        <v>3</v>
      </c>
      <c r="K38" s="21">
        <v>3</v>
      </c>
      <c r="L38" s="21">
        <v>3</v>
      </c>
      <c r="M38" s="21">
        <v>3</v>
      </c>
      <c r="N38" s="22">
        <v>3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</row>
    <row r="39" spans="1:30" ht="16.899999999999999" customHeight="1" x14ac:dyDescent="0.25">
      <c r="A39" s="45"/>
      <c r="B39" s="45"/>
      <c r="C39" s="50" t="s">
        <v>127</v>
      </c>
      <c r="D39" s="48"/>
      <c r="E39" s="47" t="s">
        <v>17</v>
      </c>
      <c r="F39" s="48"/>
      <c r="G39" s="21">
        <v>2</v>
      </c>
      <c r="H39" s="21">
        <v>2</v>
      </c>
      <c r="I39" s="21">
        <v>2</v>
      </c>
      <c r="J39" s="21">
        <v>2</v>
      </c>
      <c r="K39" s="21">
        <v>2</v>
      </c>
      <c r="L39" s="21">
        <v>2</v>
      </c>
      <c r="M39" s="21">
        <v>2</v>
      </c>
      <c r="N39" s="21">
        <v>2</v>
      </c>
      <c r="O39" s="22">
        <v>2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</row>
    <row r="40" spans="1:30" ht="16.899999999999999" customHeight="1" x14ac:dyDescent="0.25">
      <c r="A40" s="45"/>
      <c r="B40" s="45"/>
      <c r="C40" s="50" t="s">
        <v>128</v>
      </c>
      <c r="D40" s="48"/>
      <c r="E40" s="47" t="s">
        <v>14</v>
      </c>
      <c r="F40" s="48"/>
      <c r="G40" s="21">
        <v>1</v>
      </c>
      <c r="H40" s="21">
        <v>1</v>
      </c>
      <c r="I40" s="21">
        <v>1</v>
      </c>
      <c r="J40" s="21">
        <v>1</v>
      </c>
      <c r="K40" s="21">
        <v>1</v>
      </c>
      <c r="L40" s="21">
        <v>1</v>
      </c>
      <c r="M40" s="21">
        <v>1</v>
      </c>
      <c r="N40" s="21">
        <v>1</v>
      </c>
      <c r="O40" s="22">
        <v>1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</row>
    <row r="41" spans="1:30" ht="16.899999999999999" customHeight="1" x14ac:dyDescent="0.25">
      <c r="A41" s="45"/>
      <c r="B41" s="45"/>
      <c r="C41" s="50" t="s">
        <v>129</v>
      </c>
      <c r="D41" s="48"/>
      <c r="E41" s="47" t="s">
        <v>25</v>
      </c>
      <c r="F41" s="48"/>
      <c r="G41" s="21">
        <v>8</v>
      </c>
      <c r="H41" s="21">
        <v>9</v>
      </c>
      <c r="I41" s="21">
        <v>8</v>
      </c>
      <c r="J41" s="21">
        <v>8</v>
      </c>
      <c r="K41" s="21">
        <v>8</v>
      </c>
      <c r="L41" s="21">
        <v>8</v>
      </c>
      <c r="M41" s="21">
        <v>8</v>
      </c>
      <c r="N41" s="21">
        <v>8</v>
      </c>
      <c r="O41" s="23">
        <v>8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</row>
    <row r="42" spans="1:30" ht="16.899999999999999" customHeight="1" x14ac:dyDescent="0.25">
      <c r="A42" s="45"/>
      <c r="B42" s="46"/>
      <c r="C42" s="47"/>
      <c r="D42" s="48"/>
      <c r="E42" s="47"/>
      <c r="F42" s="48"/>
      <c r="G42" s="21"/>
      <c r="H42" s="21"/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/>
    </row>
    <row r="43" spans="1:30" ht="16.899999999999999" customHeight="1" x14ac:dyDescent="0.25">
      <c r="A43" s="45"/>
      <c r="B43" s="44" t="s">
        <v>50</v>
      </c>
      <c r="C43" s="50" t="s">
        <v>130</v>
      </c>
      <c r="D43" s="48"/>
      <c r="E43" s="47" t="s">
        <v>18</v>
      </c>
      <c r="F43" s="48"/>
      <c r="G43" s="21">
        <v>1</v>
      </c>
      <c r="H43" s="21">
        <v>2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>
        <v>1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</row>
    <row r="44" spans="1:30" ht="16.899999999999999" customHeight="1" x14ac:dyDescent="0.25">
      <c r="A44" s="45"/>
      <c r="B44" s="45"/>
      <c r="C44" s="47"/>
      <c r="D44" s="48"/>
      <c r="E44" s="47"/>
      <c r="F44" s="48"/>
      <c r="G44" s="21"/>
      <c r="H44" s="21"/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/>
    </row>
    <row r="45" spans="1:30" ht="16.899999999999999" customHeight="1" x14ac:dyDescent="0.25">
      <c r="A45" s="45"/>
      <c r="B45" s="45"/>
      <c r="C45" s="50" t="s">
        <v>131</v>
      </c>
      <c r="D45" s="48"/>
      <c r="E45" s="47" t="s">
        <v>18</v>
      </c>
      <c r="F45" s="48"/>
      <c r="G45" s="21">
        <v>2</v>
      </c>
      <c r="H45" s="21">
        <v>2</v>
      </c>
      <c r="I45" s="21">
        <v>2</v>
      </c>
      <c r="J45" s="21">
        <v>2</v>
      </c>
      <c r="K45" s="21">
        <v>2</v>
      </c>
      <c r="L45" s="21">
        <v>2</v>
      </c>
      <c r="M45" s="21">
        <v>2</v>
      </c>
      <c r="N45" s="21">
        <v>2</v>
      </c>
      <c r="O45" s="21">
        <v>2</v>
      </c>
      <c r="P45" s="22">
        <v>2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</row>
    <row r="46" spans="1:30" ht="16.899999999999999" customHeight="1" x14ac:dyDescent="0.25">
      <c r="A46" s="45"/>
      <c r="B46" s="45"/>
      <c r="C46" s="50" t="s">
        <v>132</v>
      </c>
      <c r="D46" s="48"/>
      <c r="E46" s="47" t="s">
        <v>14</v>
      </c>
      <c r="F46" s="48"/>
      <c r="G46" s="21">
        <v>5</v>
      </c>
      <c r="H46" s="21">
        <v>5</v>
      </c>
      <c r="I46" s="21">
        <v>5</v>
      </c>
      <c r="J46" s="21">
        <v>5</v>
      </c>
      <c r="K46" s="21">
        <v>5</v>
      </c>
      <c r="L46" s="21">
        <v>5</v>
      </c>
      <c r="M46" s="21">
        <v>5</v>
      </c>
      <c r="N46" s="21">
        <v>5</v>
      </c>
      <c r="O46" s="21">
        <v>5</v>
      </c>
      <c r="P46" s="22">
        <v>5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</row>
    <row r="47" spans="1:30" ht="16.899999999999999" customHeight="1" x14ac:dyDescent="0.25">
      <c r="A47" s="45"/>
      <c r="B47" s="45"/>
      <c r="C47" s="50" t="s">
        <v>133</v>
      </c>
      <c r="D47" s="48"/>
      <c r="E47" s="47" t="s">
        <v>14</v>
      </c>
      <c r="F47" s="48"/>
      <c r="G47" s="21">
        <v>6</v>
      </c>
      <c r="H47" s="21">
        <v>6</v>
      </c>
      <c r="I47" s="21">
        <v>6</v>
      </c>
      <c r="J47" s="21">
        <v>6</v>
      </c>
      <c r="K47" s="21">
        <v>6</v>
      </c>
      <c r="L47" s="21">
        <v>6</v>
      </c>
      <c r="M47" s="21">
        <v>6</v>
      </c>
      <c r="N47" s="21">
        <v>6</v>
      </c>
      <c r="O47" s="21">
        <v>6</v>
      </c>
      <c r="P47" s="22">
        <v>6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</row>
    <row r="48" spans="1:30" ht="16.899999999999999" customHeight="1" x14ac:dyDescent="0.25">
      <c r="A48" s="45"/>
      <c r="B48" s="45"/>
      <c r="C48" s="64"/>
      <c r="D48" s="48"/>
      <c r="E48" s="47"/>
      <c r="F48" s="48"/>
      <c r="G48" s="21"/>
      <c r="H48" s="21"/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/>
    </row>
    <row r="49" spans="1:30" ht="16.899999999999999" customHeight="1" x14ac:dyDescent="0.25">
      <c r="A49" s="45"/>
      <c r="B49" s="45"/>
      <c r="C49" s="50" t="s">
        <v>134</v>
      </c>
      <c r="D49" s="48"/>
      <c r="E49" s="47" t="s">
        <v>15</v>
      </c>
      <c r="F49" s="48"/>
      <c r="G49" s="21">
        <v>3</v>
      </c>
      <c r="H49" s="21">
        <v>3</v>
      </c>
      <c r="I49" s="21">
        <v>3</v>
      </c>
      <c r="J49" s="21">
        <v>3</v>
      </c>
      <c r="K49" s="21">
        <v>3</v>
      </c>
      <c r="L49" s="21">
        <v>3</v>
      </c>
      <c r="M49" s="21">
        <v>3</v>
      </c>
      <c r="N49" s="21">
        <v>3</v>
      </c>
      <c r="O49" s="21">
        <v>3</v>
      </c>
      <c r="P49" s="21">
        <v>3</v>
      </c>
      <c r="Q49" s="22">
        <v>3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</row>
    <row r="50" spans="1:30" ht="16.899999999999999" customHeight="1" x14ac:dyDescent="0.25">
      <c r="A50" s="45"/>
      <c r="B50" s="45"/>
      <c r="C50" s="50" t="s">
        <v>135</v>
      </c>
      <c r="D50" s="48"/>
      <c r="E50" s="47" t="s">
        <v>15</v>
      </c>
      <c r="F50" s="48"/>
      <c r="G50" s="21">
        <v>4</v>
      </c>
      <c r="H50" s="21">
        <v>4</v>
      </c>
      <c r="I50" s="21">
        <v>4</v>
      </c>
      <c r="J50" s="21">
        <v>4</v>
      </c>
      <c r="K50" s="21">
        <v>4</v>
      </c>
      <c r="L50" s="21">
        <v>4</v>
      </c>
      <c r="M50" s="21">
        <v>4</v>
      </c>
      <c r="N50" s="21">
        <v>4</v>
      </c>
      <c r="O50" s="21">
        <v>4</v>
      </c>
      <c r="P50" s="21">
        <v>4</v>
      </c>
      <c r="Q50" s="22">
        <v>4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</row>
    <row r="51" spans="1:30" ht="16.899999999999999" customHeight="1" x14ac:dyDescent="0.25">
      <c r="A51" s="45"/>
      <c r="B51" s="45"/>
      <c r="C51" s="50" t="s">
        <v>136</v>
      </c>
      <c r="D51" s="48"/>
      <c r="E51" s="47" t="s">
        <v>18</v>
      </c>
      <c r="F51" s="48"/>
      <c r="G51" s="21">
        <v>1</v>
      </c>
      <c r="H51" s="21">
        <v>2</v>
      </c>
      <c r="I51" s="21">
        <v>1</v>
      </c>
      <c r="J51" s="21">
        <v>1</v>
      </c>
      <c r="K51" s="21">
        <v>1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3">
        <v>1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</row>
    <row r="52" spans="1:30" ht="16.899999999999999" customHeight="1" x14ac:dyDescent="0.25">
      <c r="A52" s="45"/>
      <c r="B52" s="45"/>
      <c r="C52" s="50" t="s">
        <v>137</v>
      </c>
      <c r="D52" s="48"/>
      <c r="E52" s="47" t="s">
        <v>18</v>
      </c>
      <c r="F52" s="48"/>
      <c r="G52" s="21">
        <v>2</v>
      </c>
      <c r="H52" s="21">
        <v>2</v>
      </c>
      <c r="I52" s="21">
        <v>2</v>
      </c>
      <c r="J52" s="21">
        <v>2</v>
      </c>
      <c r="K52" s="21">
        <v>2</v>
      </c>
      <c r="L52" s="21">
        <v>2</v>
      </c>
      <c r="M52" s="21">
        <v>2</v>
      </c>
      <c r="N52" s="21">
        <v>2</v>
      </c>
      <c r="O52" s="21">
        <v>2</v>
      </c>
      <c r="P52" s="21">
        <v>2</v>
      </c>
      <c r="Q52" s="21">
        <v>2</v>
      </c>
      <c r="R52" s="22">
        <v>2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</row>
    <row r="53" spans="1:30" ht="16.899999999999999" customHeight="1" x14ac:dyDescent="0.25">
      <c r="A53" s="45"/>
      <c r="B53" s="45"/>
      <c r="C53" s="50" t="s">
        <v>138</v>
      </c>
      <c r="D53" s="48"/>
      <c r="E53" s="47" t="s">
        <v>17</v>
      </c>
      <c r="F53" s="48"/>
      <c r="G53" s="21">
        <v>2</v>
      </c>
      <c r="H53" s="21">
        <v>2</v>
      </c>
      <c r="I53" s="21">
        <v>2</v>
      </c>
      <c r="J53" s="21">
        <v>2</v>
      </c>
      <c r="K53" s="21">
        <v>2</v>
      </c>
      <c r="L53" s="21">
        <v>2</v>
      </c>
      <c r="M53" s="21">
        <v>2</v>
      </c>
      <c r="N53" s="21">
        <v>2</v>
      </c>
      <c r="O53" s="21">
        <v>2</v>
      </c>
      <c r="P53" s="21">
        <v>2</v>
      </c>
      <c r="Q53" s="21">
        <v>2</v>
      </c>
      <c r="R53" s="22">
        <v>2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</row>
    <row r="54" spans="1:30" ht="16.899999999999999" customHeight="1" x14ac:dyDescent="0.25">
      <c r="A54" s="45"/>
      <c r="B54" s="45"/>
      <c r="C54" s="47"/>
      <c r="D54" s="48"/>
      <c r="E54" s="47"/>
      <c r="F54" s="48"/>
      <c r="G54" s="21"/>
      <c r="H54" s="21"/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/>
    </row>
    <row r="55" spans="1:30" ht="16.899999999999999" customHeight="1" x14ac:dyDescent="0.25">
      <c r="A55" s="45"/>
      <c r="B55" s="45"/>
      <c r="C55" s="50" t="s">
        <v>139</v>
      </c>
      <c r="D55" s="48"/>
      <c r="E55" s="47" t="s">
        <v>17</v>
      </c>
      <c r="F55" s="48"/>
      <c r="G55" s="21">
        <v>2</v>
      </c>
      <c r="H55" s="21">
        <v>2</v>
      </c>
      <c r="I55" s="21">
        <v>2</v>
      </c>
      <c r="J55" s="21">
        <v>2</v>
      </c>
      <c r="K55" s="21">
        <v>2</v>
      </c>
      <c r="L55" s="21">
        <v>2</v>
      </c>
      <c r="M55" s="21">
        <v>2</v>
      </c>
      <c r="N55" s="21">
        <v>2</v>
      </c>
      <c r="O55" s="21">
        <v>2</v>
      </c>
      <c r="P55" s="21">
        <v>2</v>
      </c>
      <c r="Q55" s="21">
        <v>2</v>
      </c>
      <c r="R55" s="22">
        <v>2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</row>
    <row r="56" spans="1:30" ht="16.899999999999999" customHeight="1" x14ac:dyDescent="0.25">
      <c r="A56" s="45"/>
      <c r="B56" s="45"/>
      <c r="C56" s="50" t="s">
        <v>140</v>
      </c>
      <c r="D56" s="48"/>
      <c r="E56" s="47" t="s">
        <v>18</v>
      </c>
      <c r="F56" s="48"/>
      <c r="G56" s="21">
        <v>1</v>
      </c>
      <c r="H56" s="21">
        <v>2</v>
      </c>
      <c r="I56" s="21">
        <v>1</v>
      </c>
      <c r="J56" s="21">
        <v>1</v>
      </c>
      <c r="K56" s="21">
        <v>1</v>
      </c>
      <c r="L56" s="21">
        <v>1</v>
      </c>
      <c r="M56" s="21">
        <v>1</v>
      </c>
      <c r="N56" s="21">
        <v>1</v>
      </c>
      <c r="O56" s="21">
        <v>1</v>
      </c>
      <c r="P56" s="21">
        <v>1</v>
      </c>
      <c r="Q56" s="21">
        <v>1</v>
      </c>
      <c r="R56" s="23">
        <v>1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</row>
    <row r="57" spans="1:30" ht="16.899999999999999" customHeight="1" x14ac:dyDescent="0.25">
      <c r="A57" s="45"/>
      <c r="B57" s="45"/>
      <c r="C57" s="50" t="s">
        <v>141</v>
      </c>
      <c r="D57" s="48"/>
      <c r="E57" s="47" t="s">
        <v>18</v>
      </c>
      <c r="F57" s="48"/>
      <c r="G57" s="21">
        <v>2</v>
      </c>
      <c r="H57" s="21">
        <v>2</v>
      </c>
      <c r="I57" s="21">
        <v>2</v>
      </c>
      <c r="J57" s="21">
        <v>2</v>
      </c>
      <c r="K57" s="21">
        <v>2</v>
      </c>
      <c r="L57" s="21">
        <v>2</v>
      </c>
      <c r="M57" s="21">
        <v>2</v>
      </c>
      <c r="N57" s="21">
        <v>2</v>
      </c>
      <c r="O57" s="21">
        <v>2</v>
      </c>
      <c r="P57" s="21">
        <v>2</v>
      </c>
      <c r="Q57" s="21">
        <v>2</v>
      </c>
      <c r="R57" s="21">
        <v>2</v>
      </c>
      <c r="S57" s="22">
        <v>2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</row>
    <row r="58" spans="1:30" ht="16.899999999999999" customHeight="1" x14ac:dyDescent="0.25">
      <c r="A58" s="45"/>
      <c r="B58" s="45"/>
      <c r="C58" s="50" t="s">
        <v>142</v>
      </c>
      <c r="D58" s="48"/>
      <c r="E58" s="47" t="s">
        <v>14</v>
      </c>
      <c r="F58" s="48"/>
      <c r="G58" s="21">
        <v>6</v>
      </c>
      <c r="H58" s="21">
        <v>5</v>
      </c>
      <c r="I58" s="21">
        <v>6</v>
      </c>
      <c r="J58" s="21">
        <v>6</v>
      </c>
      <c r="K58" s="21">
        <v>6</v>
      </c>
      <c r="L58" s="21">
        <v>6</v>
      </c>
      <c r="M58" s="21">
        <v>6</v>
      </c>
      <c r="N58" s="21">
        <v>6</v>
      </c>
      <c r="O58" s="21">
        <v>6</v>
      </c>
      <c r="P58" s="21">
        <v>6</v>
      </c>
      <c r="Q58" s="21">
        <v>6</v>
      </c>
      <c r="R58" s="21">
        <v>6</v>
      </c>
      <c r="S58" s="21">
        <v>6</v>
      </c>
      <c r="T58" s="24">
        <v>6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</row>
    <row r="59" spans="1:30" ht="16.899999999999999" customHeight="1" x14ac:dyDescent="0.25">
      <c r="A59" s="45"/>
      <c r="B59" s="45"/>
      <c r="C59" s="50" t="s">
        <v>143</v>
      </c>
      <c r="D59" s="48"/>
      <c r="E59" s="47" t="s">
        <v>14</v>
      </c>
      <c r="F59" s="48"/>
      <c r="G59" s="21">
        <v>7</v>
      </c>
      <c r="H59" s="21">
        <v>7</v>
      </c>
      <c r="I59" s="21">
        <v>7</v>
      </c>
      <c r="J59" s="21">
        <v>7</v>
      </c>
      <c r="K59" s="21">
        <v>7</v>
      </c>
      <c r="L59" s="21">
        <v>7</v>
      </c>
      <c r="M59" s="21">
        <v>7</v>
      </c>
      <c r="N59" s="21">
        <v>7</v>
      </c>
      <c r="O59" s="21">
        <v>7</v>
      </c>
      <c r="P59" s="21">
        <v>7</v>
      </c>
      <c r="Q59" s="21">
        <v>7</v>
      </c>
      <c r="R59" s="21">
        <v>7</v>
      </c>
      <c r="S59" s="21">
        <v>7</v>
      </c>
      <c r="T59" s="22">
        <v>7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</row>
    <row r="60" spans="1:30" ht="16.899999999999999" customHeight="1" x14ac:dyDescent="0.25">
      <c r="A60" s="45"/>
      <c r="B60" s="45"/>
      <c r="C60" s="50" t="s">
        <v>144</v>
      </c>
      <c r="D60" s="48"/>
      <c r="E60" s="47" t="s">
        <v>18</v>
      </c>
      <c r="F60" s="48"/>
      <c r="G60" s="21">
        <v>3</v>
      </c>
      <c r="H60" s="21">
        <v>3</v>
      </c>
      <c r="I60" s="21">
        <v>3</v>
      </c>
      <c r="J60" s="21">
        <v>3</v>
      </c>
      <c r="K60" s="21">
        <v>3</v>
      </c>
      <c r="L60" s="21">
        <v>3</v>
      </c>
      <c r="M60" s="21">
        <v>3</v>
      </c>
      <c r="N60" s="21">
        <v>3</v>
      </c>
      <c r="O60" s="21">
        <v>3</v>
      </c>
      <c r="P60" s="21">
        <v>3</v>
      </c>
      <c r="Q60" s="21">
        <v>3</v>
      </c>
      <c r="R60" s="21">
        <v>3</v>
      </c>
      <c r="S60" s="21">
        <v>3</v>
      </c>
      <c r="T60" s="22">
        <v>3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</row>
    <row r="61" spans="1:30" ht="16.899999999999999" customHeight="1" x14ac:dyDescent="0.25">
      <c r="A61" s="45"/>
      <c r="B61" s="45"/>
      <c r="C61" s="50" t="s">
        <v>145</v>
      </c>
      <c r="D61" s="48"/>
      <c r="E61" s="47" t="s">
        <v>18</v>
      </c>
      <c r="F61" s="48"/>
      <c r="G61" s="21">
        <v>4</v>
      </c>
      <c r="H61" s="21">
        <v>4</v>
      </c>
      <c r="I61" s="21">
        <v>4</v>
      </c>
      <c r="J61" s="21">
        <v>4</v>
      </c>
      <c r="K61" s="21">
        <v>4</v>
      </c>
      <c r="L61" s="21">
        <v>4</v>
      </c>
      <c r="M61" s="21">
        <v>4</v>
      </c>
      <c r="N61" s="21">
        <v>4</v>
      </c>
      <c r="O61" s="21">
        <v>4</v>
      </c>
      <c r="P61" s="21">
        <v>4</v>
      </c>
      <c r="Q61" s="21">
        <v>4</v>
      </c>
      <c r="R61" s="21">
        <v>4</v>
      </c>
      <c r="S61" s="21">
        <v>4</v>
      </c>
      <c r="T61" s="22">
        <v>4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</row>
    <row r="62" spans="1:30" ht="16.899999999999999" customHeight="1" x14ac:dyDescent="0.25">
      <c r="A62" s="45"/>
      <c r="B62" s="45"/>
      <c r="C62" s="50" t="s">
        <v>146</v>
      </c>
      <c r="D62" s="48"/>
      <c r="E62" s="47" t="s">
        <v>17</v>
      </c>
      <c r="F62" s="48"/>
      <c r="G62" s="21">
        <v>2</v>
      </c>
      <c r="H62" s="21">
        <v>2</v>
      </c>
      <c r="I62" s="21">
        <v>2</v>
      </c>
      <c r="J62" s="21">
        <v>2</v>
      </c>
      <c r="K62" s="21">
        <v>2</v>
      </c>
      <c r="L62" s="21">
        <v>2</v>
      </c>
      <c r="M62" s="21">
        <v>2</v>
      </c>
      <c r="N62" s="21">
        <v>2</v>
      </c>
      <c r="O62" s="21">
        <v>2</v>
      </c>
      <c r="P62" s="21">
        <v>2</v>
      </c>
      <c r="Q62" s="21">
        <v>2</v>
      </c>
      <c r="R62" s="21">
        <v>2</v>
      </c>
      <c r="S62" s="21">
        <v>2</v>
      </c>
      <c r="T62" s="22">
        <v>2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</row>
    <row r="63" spans="1:30" ht="16.899999999999999" customHeight="1" x14ac:dyDescent="0.25">
      <c r="A63" s="45"/>
      <c r="B63" s="45"/>
      <c r="C63" s="50" t="s">
        <v>147</v>
      </c>
      <c r="D63" s="48"/>
      <c r="E63" s="47" t="s">
        <v>17</v>
      </c>
      <c r="F63" s="48"/>
      <c r="G63" s="21">
        <v>2</v>
      </c>
      <c r="H63" s="21">
        <v>2</v>
      </c>
      <c r="I63" s="21">
        <v>2</v>
      </c>
      <c r="J63" s="21">
        <v>2</v>
      </c>
      <c r="K63" s="21">
        <v>2</v>
      </c>
      <c r="L63" s="21">
        <v>2</v>
      </c>
      <c r="M63" s="21">
        <v>2</v>
      </c>
      <c r="N63" s="21">
        <v>2</v>
      </c>
      <c r="O63" s="21">
        <v>2</v>
      </c>
      <c r="P63" s="21">
        <v>2</v>
      </c>
      <c r="Q63" s="21">
        <v>2</v>
      </c>
      <c r="R63" s="21">
        <v>2</v>
      </c>
      <c r="S63" s="21">
        <v>2</v>
      </c>
      <c r="T63" s="22">
        <v>2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</row>
    <row r="64" spans="1:30" ht="16.899999999999999" customHeight="1" x14ac:dyDescent="0.25">
      <c r="A64" s="45"/>
      <c r="B64" s="46"/>
      <c r="C64" s="50" t="s">
        <v>67</v>
      </c>
      <c r="D64" s="48"/>
      <c r="E64" s="47" t="s">
        <v>68</v>
      </c>
      <c r="F64" s="48"/>
      <c r="G64" s="21">
        <v>10</v>
      </c>
      <c r="H64" s="21">
        <v>10</v>
      </c>
      <c r="I64" s="21">
        <v>10</v>
      </c>
      <c r="J64" s="21">
        <v>10</v>
      </c>
      <c r="K64" s="21">
        <v>10</v>
      </c>
      <c r="L64" s="21">
        <v>10</v>
      </c>
      <c r="M64" s="21">
        <v>10</v>
      </c>
      <c r="N64" s="21">
        <v>10</v>
      </c>
      <c r="O64" s="21">
        <v>10</v>
      </c>
      <c r="P64" s="21">
        <v>10</v>
      </c>
      <c r="Q64" s="21">
        <v>10</v>
      </c>
      <c r="R64" s="21">
        <v>10</v>
      </c>
      <c r="S64" s="21">
        <v>10</v>
      </c>
      <c r="T64" s="21">
        <v>10</v>
      </c>
      <c r="U64" s="22">
        <v>10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</row>
    <row r="65" spans="1:30" ht="16.899999999999999" customHeight="1" x14ac:dyDescent="0.25">
      <c r="A65" s="45"/>
      <c r="B65" s="44" t="s">
        <v>69</v>
      </c>
      <c r="C65" s="50" t="s">
        <v>148</v>
      </c>
      <c r="D65" s="48"/>
      <c r="E65" s="47" t="s">
        <v>14</v>
      </c>
      <c r="F65" s="48"/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2">
        <v>1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</row>
    <row r="66" spans="1:30" ht="16.899999999999999" customHeight="1" x14ac:dyDescent="0.25">
      <c r="A66" s="45"/>
      <c r="B66" s="45"/>
      <c r="C66" s="50" t="s">
        <v>149</v>
      </c>
      <c r="D66" s="48"/>
      <c r="E66" s="47" t="s">
        <v>16</v>
      </c>
      <c r="F66" s="48"/>
      <c r="G66" s="21">
        <v>4</v>
      </c>
      <c r="H66" s="21">
        <v>4</v>
      </c>
      <c r="I66" s="21">
        <v>4</v>
      </c>
      <c r="J66" s="21">
        <v>4</v>
      </c>
      <c r="K66" s="21">
        <v>4</v>
      </c>
      <c r="L66" s="21">
        <v>4</v>
      </c>
      <c r="M66" s="21">
        <v>4</v>
      </c>
      <c r="N66" s="21">
        <v>4</v>
      </c>
      <c r="O66" s="21">
        <v>4</v>
      </c>
      <c r="P66" s="21">
        <v>4</v>
      </c>
      <c r="Q66" s="21">
        <v>4</v>
      </c>
      <c r="R66" s="21">
        <v>4</v>
      </c>
      <c r="S66" s="21">
        <v>4</v>
      </c>
      <c r="T66" s="21">
        <v>4</v>
      </c>
      <c r="U66" s="22">
        <v>4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</row>
    <row r="67" spans="1:30" ht="16.899999999999999" customHeight="1" x14ac:dyDescent="0.25">
      <c r="A67" s="45"/>
      <c r="B67" s="45"/>
      <c r="C67" s="54" t="s">
        <v>150</v>
      </c>
      <c r="D67" s="48"/>
      <c r="E67" s="47" t="s">
        <v>17</v>
      </c>
      <c r="F67" s="48"/>
      <c r="G67" s="21">
        <v>2</v>
      </c>
      <c r="H67" s="21">
        <v>2</v>
      </c>
      <c r="I67" s="21">
        <v>2</v>
      </c>
      <c r="J67" s="21">
        <v>2</v>
      </c>
      <c r="K67" s="21">
        <v>2</v>
      </c>
      <c r="L67" s="21">
        <v>2</v>
      </c>
      <c r="M67" s="21">
        <v>2</v>
      </c>
      <c r="N67" s="21">
        <v>2</v>
      </c>
      <c r="O67" s="21">
        <v>2</v>
      </c>
      <c r="P67" s="21">
        <v>2</v>
      </c>
      <c r="Q67" s="21">
        <v>2</v>
      </c>
      <c r="R67" s="21">
        <v>2</v>
      </c>
      <c r="S67" s="21">
        <v>2</v>
      </c>
      <c r="T67" s="21">
        <v>2</v>
      </c>
      <c r="U67" s="21">
        <v>2</v>
      </c>
      <c r="V67" s="22">
        <v>2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</row>
    <row r="68" spans="1:30" ht="16.899999999999999" customHeight="1" x14ac:dyDescent="0.25">
      <c r="A68" s="45"/>
      <c r="B68" s="45"/>
      <c r="C68" s="50" t="s">
        <v>151</v>
      </c>
      <c r="D68" s="48"/>
      <c r="E68" s="47" t="s">
        <v>17</v>
      </c>
      <c r="F68" s="48"/>
      <c r="G68" s="21">
        <v>1</v>
      </c>
      <c r="H68" s="21">
        <v>1</v>
      </c>
      <c r="I68" s="21">
        <v>1</v>
      </c>
      <c r="J68" s="21">
        <v>1</v>
      </c>
      <c r="K68" s="21">
        <v>1</v>
      </c>
      <c r="L68" s="21">
        <v>1</v>
      </c>
      <c r="M68" s="21">
        <v>1</v>
      </c>
      <c r="N68" s="21">
        <v>1</v>
      </c>
      <c r="O68" s="21">
        <v>1</v>
      </c>
      <c r="P68" s="21">
        <v>1</v>
      </c>
      <c r="Q68" s="21">
        <v>1</v>
      </c>
      <c r="R68" s="21">
        <v>1</v>
      </c>
      <c r="S68" s="21">
        <v>1</v>
      </c>
      <c r="T68" s="21">
        <v>1</v>
      </c>
      <c r="U68" s="21">
        <v>1</v>
      </c>
      <c r="V68" s="22">
        <v>1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</row>
    <row r="69" spans="1:30" ht="16.899999999999999" customHeight="1" x14ac:dyDescent="0.25">
      <c r="A69" s="45"/>
      <c r="B69" s="45"/>
      <c r="C69" s="50" t="s">
        <v>152</v>
      </c>
      <c r="D69" s="48"/>
      <c r="E69" s="47" t="s">
        <v>14</v>
      </c>
      <c r="F69" s="48"/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2">
        <v>1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</row>
    <row r="70" spans="1:30" ht="16.899999999999999" customHeight="1" x14ac:dyDescent="0.25">
      <c r="A70" s="45"/>
      <c r="B70" s="45"/>
      <c r="C70" s="50" t="s">
        <v>153</v>
      </c>
      <c r="D70" s="48"/>
      <c r="E70" s="47" t="s">
        <v>15</v>
      </c>
      <c r="F70" s="48"/>
      <c r="G70" s="21">
        <v>1</v>
      </c>
      <c r="H70" s="21">
        <v>1</v>
      </c>
      <c r="I70" s="21">
        <v>1</v>
      </c>
      <c r="J70" s="21">
        <v>1</v>
      </c>
      <c r="K70" s="21">
        <v>1</v>
      </c>
      <c r="L70" s="21">
        <v>1</v>
      </c>
      <c r="M70" s="21">
        <v>1</v>
      </c>
      <c r="N70" s="21">
        <v>1</v>
      </c>
      <c r="O70" s="21">
        <v>1</v>
      </c>
      <c r="P70" s="21">
        <v>1</v>
      </c>
      <c r="Q70" s="21">
        <v>1</v>
      </c>
      <c r="R70" s="21">
        <v>1</v>
      </c>
      <c r="S70" s="21">
        <v>1</v>
      </c>
      <c r="T70" s="21">
        <v>1</v>
      </c>
      <c r="U70" s="21">
        <v>1</v>
      </c>
      <c r="V70" s="22">
        <v>1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</row>
    <row r="71" spans="1:30" ht="16.899999999999999" customHeight="1" x14ac:dyDescent="0.25">
      <c r="A71" s="45"/>
      <c r="B71" s="45"/>
      <c r="C71" s="50" t="s">
        <v>154</v>
      </c>
      <c r="D71" s="48"/>
      <c r="E71" s="47" t="s">
        <v>17</v>
      </c>
      <c r="F71" s="48"/>
      <c r="G71" s="21">
        <v>4</v>
      </c>
      <c r="H71" s="21">
        <v>4</v>
      </c>
      <c r="I71" s="21">
        <v>4</v>
      </c>
      <c r="J71" s="21">
        <v>4</v>
      </c>
      <c r="K71" s="21">
        <v>4</v>
      </c>
      <c r="L71" s="21">
        <v>4</v>
      </c>
      <c r="M71" s="21">
        <v>4</v>
      </c>
      <c r="N71" s="21">
        <v>4</v>
      </c>
      <c r="O71" s="21">
        <v>4</v>
      </c>
      <c r="P71" s="21">
        <v>4</v>
      </c>
      <c r="Q71" s="21">
        <v>4</v>
      </c>
      <c r="R71" s="21">
        <v>4</v>
      </c>
      <c r="S71" s="21">
        <v>4</v>
      </c>
      <c r="T71" s="21">
        <v>4</v>
      </c>
      <c r="U71" s="21">
        <v>4</v>
      </c>
      <c r="V71" s="21">
        <v>4</v>
      </c>
      <c r="W71" s="22">
        <v>4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</row>
    <row r="72" spans="1:30" ht="16.899999999999999" customHeight="1" x14ac:dyDescent="0.25">
      <c r="A72" s="45"/>
      <c r="B72" s="45"/>
      <c r="C72" s="47"/>
      <c r="D72" s="48"/>
      <c r="E72" s="47"/>
      <c r="F72" s="48"/>
      <c r="G72" s="21"/>
      <c r="H72" s="21"/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/>
    </row>
    <row r="73" spans="1:30" ht="16.899999999999999" customHeight="1" x14ac:dyDescent="0.25">
      <c r="A73" s="45"/>
      <c r="B73" s="45"/>
      <c r="C73" s="50" t="s">
        <v>155</v>
      </c>
      <c r="D73" s="48"/>
      <c r="E73" s="47" t="s">
        <v>17</v>
      </c>
      <c r="F73" s="48"/>
      <c r="G73" s="21">
        <v>2</v>
      </c>
      <c r="H73" s="21">
        <v>3</v>
      </c>
      <c r="I73" s="21">
        <v>2</v>
      </c>
      <c r="J73" s="21">
        <v>2</v>
      </c>
      <c r="K73" s="21">
        <v>2</v>
      </c>
      <c r="L73" s="21">
        <v>2</v>
      </c>
      <c r="M73" s="21">
        <v>2</v>
      </c>
      <c r="N73" s="21">
        <v>2</v>
      </c>
      <c r="O73" s="21">
        <v>2</v>
      </c>
      <c r="P73" s="21">
        <v>2</v>
      </c>
      <c r="Q73" s="21">
        <v>2</v>
      </c>
      <c r="R73" s="21">
        <v>2</v>
      </c>
      <c r="S73" s="21">
        <v>2</v>
      </c>
      <c r="T73" s="21">
        <v>2</v>
      </c>
      <c r="U73" s="21">
        <v>2</v>
      </c>
      <c r="V73" s="21">
        <v>2</v>
      </c>
      <c r="W73" s="23">
        <v>2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</row>
    <row r="74" spans="1:30" ht="16.899999999999999" customHeight="1" x14ac:dyDescent="0.25">
      <c r="A74" s="45"/>
      <c r="B74" s="46"/>
      <c r="C74" s="50" t="s">
        <v>156</v>
      </c>
      <c r="D74" s="48"/>
      <c r="E74" s="47" t="s">
        <v>14</v>
      </c>
      <c r="F74" s="48"/>
      <c r="G74" s="21">
        <v>1</v>
      </c>
      <c r="H74" s="21">
        <v>1</v>
      </c>
      <c r="I74" s="21">
        <v>1</v>
      </c>
      <c r="J74" s="21">
        <v>1</v>
      </c>
      <c r="K74" s="21">
        <v>1</v>
      </c>
      <c r="L74" s="21">
        <v>1</v>
      </c>
      <c r="M74" s="21">
        <v>1</v>
      </c>
      <c r="N74" s="21">
        <v>1</v>
      </c>
      <c r="O74" s="21">
        <v>1</v>
      </c>
      <c r="P74" s="21">
        <v>1</v>
      </c>
      <c r="Q74" s="21">
        <v>1</v>
      </c>
      <c r="R74" s="21">
        <v>1</v>
      </c>
      <c r="S74" s="21">
        <v>1</v>
      </c>
      <c r="T74" s="21">
        <v>1</v>
      </c>
      <c r="U74" s="21">
        <v>1</v>
      </c>
      <c r="V74" s="21">
        <v>1</v>
      </c>
      <c r="W74" s="22">
        <v>1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</row>
    <row r="75" spans="1:30" ht="16.899999999999999" customHeight="1" x14ac:dyDescent="0.25">
      <c r="A75" s="45"/>
      <c r="B75" s="44" t="s">
        <v>78</v>
      </c>
      <c r="C75" s="50" t="s">
        <v>157</v>
      </c>
      <c r="D75" s="48"/>
      <c r="E75" s="47" t="s">
        <v>158</v>
      </c>
      <c r="F75" s="48"/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2">
        <v>1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</row>
    <row r="76" spans="1:30" ht="16.899999999999999" customHeight="1" x14ac:dyDescent="0.25">
      <c r="A76" s="45"/>
      <c r="B76" s="45"/>
      <c r="C76" s="50" t="s">
        <v>159</v>
      </c>
      <c r="D76" s="48"/>
      <c r="E76" s="47" t="s">
        <v>160</v>
      </c>
      <c r="F76" s="48"/>
      <c r="G76" s="21">
        <v>2</v>
      </c>
      <c r="H76" s="21">
        <v>2</v>
      </c>
      <c r="I76" s="21">
        <v>2</v>
      </c>
      <c r="J76" s="21">
        <v>2</v>
      </c>
      <c r="K76" s="21">
        <v>2</v>
      </c>
      <c r="L76" s="21">
        <v>2</v>
      </c>
      <c r="M76" s="21">
        <v>2</v>
      </c>
      <c r="N76" s="21">
        <v>2</v>
      </c>
      <c r="O76" s="21">
        <v>2</v>
      </c>
      <c r="P76" s="21">
        <v>2</v>
      </c>
      <c r="Q76" s="21">
        <v>2</v>
      </c>
      <c r="R76" s="21">
        <v>2</v>
      </c>
      <c r="S76" s="21">
        <v>2</v>
      </c>
      <c r="T76" s="21">
        <v>2</v>
      </c>
      <c r="U76" s="21">
        <v>2</v>
      </c>
      <c r="V76" s="21">
        <v>2</v>
      </c>
      <c r="W76" s="21">
        <v>2</v>
      </c>
      <c r="X76" s="22">
        <v>2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</row>
    <row r="77" spans="1:30" ht="16.899999999999999" customHeight="1" x14ac:dyDescent="0.25">
      <c r="A77" s="45"/>
      <c r="B77" s="45"/>
      <c r="C77" s="50" t="s">
        <v>161</v>
      </c>
      <c r="D77" s="48"/>
      <c r="E77" s="47" t="s">
        <v>89</v>
      </c>
      <c r="F77" s="48"/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2">
        <v>1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</row>
    <row r="78" spans="1:30" ht="16.899999999999999" customHeight="1" x14ac:dyDescent="0.25">
      <c r="A78" s="45"/>
      <c r="B78" s="45"/>
      <c r="C78" s="50" t="s">
        <v>162</v>
      </c>
      <c r="D78" s="48"/>
      <c r="E78" s="47" t="s">
        <v>91</v>
      </c>
      <c r="F78" s="48"/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1">
        <v>1</v>
      </c>
      <c r="U78" s="21">
        <v>1</v>
      </c>
      <c r="V78" s="21">
        <v>1</v>
      </c>
      <c r="W78" s="21">
        <v>1</v>
      </c>
      <c r="X78" s="22">
        <v>1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</row>
    <row r="79" spans="1:30" ht="16.899999999999999" customHeight="1" x14ac:dyDescent="0.25">
      <c r="A79" s="45"/>
      <c r="B79" s="45"/>
      <c r="C79" s="50" t="s">
        <v>163</v>
      </c>
      <c r="D79" s="48"/>
      <c r="E79" s="47" t="s">
        <v>164</v>
      </c>
      <c r="F79" s="48"/>
      <c r="G79" s="21">
        <v>1</v>
      </c>
      <c r="H79" s="21">
        <v>1</v>
      </c>
      <c r="I79" s="21">
        <v>1</v>
      </c>
      <c r="J79" s="21">
        <v>1</v>
      </c>
      <c r="K79" s="21">
        <v>1</v>
      </c>
      <c r="L79" s="21">
        <v>1</v>
      </c>
      <c r="M79" s="21">
        <v>1</v>
      </c>
      <c r="N79" s="21">
        <v>1</v>
      </c>
      <c r="O79" s="21">
        <v>1</v>
      </c>
      <c r="P79" s="21">
        <v>1</v>
      </c>
      <c r="Q79" s="21">
        <v>1</v>
      </c>
      <c r="R79" s="21">
        <v>1</v>
      </c>
      <c r="S79" s="21">
        <v>1</v>
      </c>
      <c r="T79" s="21">
        <v>1</v>
      </c>
      <c r="U79" s="21">
        <v>1</v>
      </c>
      <c r="V79" s="21">
        <v>1</v>
      </c>
      <c r="W79" s="21">
        <v>1</v>
      </c>
      <c r="X79" s="21">
        <v>1</v>
      </c>
      <c r="Y79" s="22">
        <v>1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</row>
    <row r="80" spans="1:30" ht="16.899999999999999" customHeight="1" x14ac:dyDescent="0.25">
      <c r="A80" s="45"/>
      <c r="B80" s="45"/>
      <c r="C80" s="50" t="s">
        <v>165</v>
      </c>
      <c r="D80" s="48"/>
      <c r="E80" s="47" t="s">
        <v>166</v>
      </c>
      <c r="F80" s="48"/>
      <c r="G80" s="21">
        <v>1</v>
      </c>
      <c r="H80" s="21">
        <v>1</v>
      </c>
      <c r="I80" s="21">
        <v>1</v>
      </c>
      <c r="J80" s="21">
        <v>1</v>
      </c>
      <c r="K80" s="21">
        <v>1</v>
      </c>
      <c r="L80" s="21">
        <v>1</v>
      </c>
      <c r="M80" s="21">
        <v>1</v>
      </c>
      <c r="N80" s="21">
        <v>1</v>
      </c>
      <c r="O80" s="21">
        <v>1</v>
      </c>
      <c r="P80" s="21">
        <v>1</v>
      </c>
      <c r="Q80" s="21">
        <v>1</v>
      </c>
      <c r="R80" s="21">
        <v>1</v>
      </c>
      <c r="S80" s="21">
        <v>1</v>
      </c>
      <c r="T80" s="21">
        <v>1</v>
      </c>
      <c r="U80" s="21">
        <v>1</v>
      </c>
      <c r="V80" s="21">
        <v>1</v>
      </c>
      <c r="W80" s="21">
        <v>1</v>
      </c>
      <c r="X80" s="21">
        <v>1</v>
      </c>
      <c r="Y80" s="22">
        <v>1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</row>
    <row r="81" spans="1:30" ht="16.899999999999999" customHeight="1" x14ac:dyDescent="0.25">
      <c r="A81" s="45"/>
      <c r="B81" s="45"/>
      <c r="C81" s="50" t="s">
        <v>167</v>
      </c>
      <c r="D81" s="48"/>
      <c r="E81" s="47" t="s">
        <v>168</v>
      </c>
      <c r="F81" s="48"/>
      <c r="G81" s="21">
        <v>3</v>
      </c>
      <c r="H81" s="21">
        <v>3</v>
      </c>
      <c r="I81" s="21">
        <v>3</v>
      </c>
      <c r="J81" s="21">
        <v>3</v>
      </c>
      <c r="K81" s="21">
        <v>3</v>
      </c>
      <c r="L81" s="21">
        <v>3</v>
      </c>
      <c r="M81" s="21">
        <v>3</v>
      </c>
      <c r="N81" s="21">
        <v>3</v>
      </c>
      <c r="O81" s="21">
        <v>3</v>
      </c>
      <c r="P81" s="21">
        <v>3</v>
      </c>
      <c r="Q81" s="21">
        <v>3</v>
      </c>
      <c r="R81" s="21">
        <v>3</v>
      </c>
      <c r="S81" s="21">
        <v>3</v>
      </c>
      <c r="T81" s="21">
        <v>3</v>
      </c>
      <c r="U81" s="21">
        <v>3</v>
      </c>
      <c r="V81" s="21">
        <v>3</v>
      </c>
      <c r="W81" s="21">
        <v>3</v>
      </c>
      <c r="X81" s="21">
        <v>3</v>
      </c>
      <c r="Y81" s="22">
        <v>3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</row>
    <row r="82" spans="1:30" ht="16.899999999999999" customHeight="1" x14ac:dyDescent="0.25">
      <c r="A82" s="45"/>
      <c r="B82" s="45"/>
      <c r="C82" s="50" t="s">
        <v>169</v>
      </c>
      <c r="D82" s="48"/>
      <c r="E82" s="47" t="s">
        <v>91</v>
      </c>
      <c r="F82" s="48"/>
      <c r="G82" s="21">
        <v>2</v>
      </c>
      <c r="H82" s="21">
        <v>2</v>
      </c>
      <c r="I82" s="21">
        <v>2</v>
      </c>
      <c r="J82" s="21">
        <v>2</v>
      </c>
      <c r="K82" s="21">
        <v>2</v>
      </c>
      <c r="L82" s="21">
        <v>2</v>
      </c>
      <c r="M82" s="21">
        <v>2</v>
      </c>
      <c r="N82" s="21">
        <v>2</v>
      </c>
      <c r="O82" s="21">
        <v>2</v>
      </c>
      <c r="P82" s="21">
        <v>2</v>
      </c>
      <c r="Q82" s="21">
        <v>2</v>
      </c>
      <c r="R82" s="21">
        <v>2</v>
      </c>
      <c r="S82" s="21">
        <v>2</v>
      </c>
      <c r="T82" s="21">
        <v>2</v>
      </c>
      <c r="U82" s="21">
        <v>2</v>
      </c>
      <c r="V82" s="21">
        <v>2</v>
      </c>
      <c r="W82" s="21">
        <v>2</v>
      </c>
      <c r="X82" s="21">
        <v>2</v>
      </c>
      <c r="Y82" s="21">
        <v>2</v>
      </c>
      <c r="Z82" s="22">
        <v>2</v>
      </c>
      <c r="AA82" s="21">
        <v>0</v>
      </c>
      <c r="AB82" s="21">
        <v>0</v>
      </c>
      <c r="AC82" s="21">
        <v>0</v>
      </c>
      <c r="AD82" s="21">
        <v>0</v>
      </c>
    </row>
    <row r="83" spans="1:30" ht="16.899999999999999" customHeight="1" x14ac:dyDescent="0.25">
      <c r="A83" s="45"/>
      <c r="B83" s="45"/>
      <c r="C83" s="47"/>
      <c r="D83" s="48"/>
      <c r="E83" s="47"/>
      <c r="F83" s="48"/>
      <c r="G83" s="21"/>
      <c r="H83" s="21"/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/>
    </row>
    <row r="84" spans="1:30" ht="16.899999999999999" customHeight="1" x14ac:dyDescent="0.25">
      <c r="A84" s="45"/>
      <c r="B84" s="46"/>
      <c r="C84" s="50" t="s">
        <v>170</v>
      </c>
      <c r="D84" s="48"/>
      <c r="E84" s="47" t="s">
        <v>164</v>
      </c>
      <c r="F84" s="48"/>
      <c r="G84" s="21">
        <v>1</v>
      </c>
      <c r="H84" s="21">
        <v>1</v>
      </c>
      <c r="I84" s="21">
        <v>1</v>
      </c>
      <c r="J84" s="21">
        <v>1</v>
      </c>
      <c r="K84" s="21">
        <v>1</v>
      </c>
      <c r="L84" s="21">
        <v>1</v>
      </c>
      <c r="M84" s="21">
        <v>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>
        <v>1</v>
      </c>
      <c r="T84" s="21">
        <v>1</v>
      </c>
      <c r="U84" s="21">
        <v>1</v>
      </c>
      <c r="V84" s="21">
        <v>1</v>
      </c>
      <c r="W84" s="21">
        <v>1</v>
      </c>
      <c r="X84" s="21">
        <v>1</v>
      </c>
      <c r="Y84" s="21">
        <v>1</v>
      </c>
      <c r="Z84" s="22">
        <v>1</v>
      </c>
      <c r="AA84" s="21">
        <v>0</v>
      </c>
      <c r="AB84" s="21">
        <v>0</v>
      </c>
      <c r="AC84" s="21">
        <v>0</v>
      </c>
      <c r="AD84" s="21">
        <v>0</v>
      </c>
    </row>
    <row r="85" spans="1:30" ht="16.899999999999999" customHeight="1" x14ac:dyDescent="0.25">
      <c r="A85" s="45"/>
      <c r="B85" s="44" t="s">
        <v>92</v>
      </c>
      <c r="C85" s="50" t="s">
        <v>171</v>
      </c>
      <c r="D85" s="48"/>
      <c r="E85" s="51" t="s">
        <v>14</v>
      </c>
      <c r="F85" s="48"/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1">
        <v>1</v>
      </c>
      <c r="T85" s="21">
        <v>1</v>
      </c>
      <c r="U85" s="21">
        <v>1</v>
      </c>
      <c r="V85" s="21">
        <v>1</v>
      </c>
      <c r="W85" s="21">
        <v>1</v>
      </c>
      <c r="X85" s="21">
        <v>1</v>
      </c>
      <c r="Y85" s="21">
        <v>1</v>
      </c>
      <c r="Z85" s="22">
        <v>1</v>
      </c>
      <c r="AA85" s="21">
        <v>0</v>
      </c>
      <c r="AB85" s="21">
        <v>0</v>
      </c>
      <c r="AC85" s="21">
        <v>0</v>
      </c>
      <c r="AD85" s="21">
        <v>0</v>
      </c>
    </row>
    <row r="86" spans="1:30" ht="16.899999999999999" customHeight="1" x14ac:dyDescent="0.25">
      <c r="A86" s="45"/>
      <c r="B86" s="45"/>
      <c r="C86" s="50" t="s">
        <v>172</v>
      </c>
      <c r="D86" s="48"/>
      <c r="E86" s="51" t="s">
        <v>16</v>
      </c>
      <c r="F86" s="48"/>
      <c r="G86" s="21">
        <v>2</v>
      </c>
      <c r="H86" s="21">
        <v>2</v>
      </c>
      <c r="I86" s="21">
        <v>2</v>
      </c>
      <c r="J86" s="21">
        <v>2</v>
      </c>
      <c r="K86" s="21">
        <v>2</v>
      </c>
      <c r="L86" s="21">
        <v>2</v>
      </c>
      <c r="M86" s="21">
        <v>2</v>
      </c>
      <c r="N86" s="21">
        <v>2</v>
      </c>
      <c r="O86" s="21">
        <v>2</v>
      </c>
      <c r="P86" s="21">
        <v>2</v>
      </c>
      <c r="Q86" s="21">
        <v>2</v>
      </c>
      <c r="R86" s="21">
        <v>2</v>
      </c>
      <c r="S86" s="21">
        <v>2</v>
      </c>
      <c r="T86" s="21">
        <v>2</v>
      </c>
      <c r="U86" s="21">
        <v>2</v>
      </c>
      <c r="V86" s="21">
        <v>2</v>
      </c>
      <c r="W86" s="21">
        <v>2</v>
      </c>
      <c r="X86" s="21">
        <v>2</v>
      </c>
      <c r="Y86" s="21">
        <v>2</v>
      </c>
      <c r="Z86" s="22">
        <v>2</v>
      </c>
      <c r="AA86" s="21">
        <v>0</v>
      </c>
      <c r="AB86" s="21">
        <v>0</v>
      </c>
      <c r="AC86" s="21">
        <v>0</v>
      </c>
      <c r="AD86" s="21">
        <v>0</v>
      </c>
    </row>
    <row r="87" spans="1:30" ht="16.899999999999999" customHeight="1" x14ac:dyDescent="0.25">
      <c r="A87" s="45"/>
      <c r="B87" s="45"/>
      <c r="C87" s="47"/>
      <c r="D87" s="48"/>
      <c r="E87" s="51"/>
      <c r="F87" s="48"/>
      <c r="G87" s="21"/>
      <c r="H87" s="21"/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</row>
    <row r="88" spans="1:30" ht="16.899999999999999" customHeight="1" x14ac:dyDescent="0.25">
      <c r="A88" s="45"/>
      <c r="B88" s="45"/>
      <c r="C88" s="50" t="s">
        <v>173</v>
      </c>
      <c r="D88" s="48"/>
      <c r="E88" s="51" t="s">
        <v>17</v>
      </c>
      <c r="F88" s="48"/>
      <c r="G88" s="21">
        <v>1</v>
      </c>
      <c r="H88" s="21">
        <v>1</v>
      </c>
      <c r="I88" s="21">
        <v>1</v>
      </c>
      <c r="J88" s="21">
        <v>1</v>
      </c>
      <c r="K88" s="21">
        <v>1</v>
      </c>
      <c r="L88" s="21">
        <v>1</v>
      </c>
      <c r="M88" s="21">
        <v>1</v>
      </c>
      <c r="N88" s="21">
        <v>1</v>
      </c>
      <c r="O88" s="21">
        <v>1</v>
      </c>
      <c r="P88" s="21">
        <v>1</v>
      </c>
      <c r="Q88" s="21">
        <v>1</v>
      </c>
      <c r="R88" s="21">
        <v>1</v>
      </c>
      <c r="S88" s="21">
        <v>1</v>
      </c>
      <c r="T88" s="21">
        <v>1</v>
      </c>
      <c r="U88" s="21">
        <v>1</v>
      </c>
      <c r="V88" s="21">
        <v>1</v>
      </c>
      <c r="W88" s="21">
        <v>1</v>
      </c>
      <c r="X88" s="21">
        <v>1</v>
      </c>
      <c r="Y88" s="21">
        <v>1</v>
      </c>
      <c r="Z88" s="21">
        <v>1</v>
      </c>
      <c r="AA88" s="22">
        <v>1</v>
      </c>
      <c r="AB88" s="21">
        <v>0</v>
      </c>
      <c r="AC88" s="21">
        <v>0</v>
      </c>
      <c r="AD88" s="21">
        <v>0</v>
      </c>
    </row>
    <row r="89" spans="1:30" ht="16.899999999999999" customHeight="1" x14ac:dyDescent="0.25">
      <c r="A89" s="45"/>
      <c r="B89" s="45"/>
      <c r="C89" s="50" t="s">
        <v>174</v>
      </c>
      <c r="D89" s="48"/>
      <c r="E89" s="51" t="s">
        <v>17</v>
      </c>
      <c r="F89" s="48"/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2">
        <v>1</v>
      </c>
      <c r="AB89" s="21">
        <v>0</v>
      </c>
      <c r="AC89" s="21">
        <v>0</v>
      </c>
      <c r="AD89" s="21">
        <v>0</v>
      </c>
    </row>
    <row r="90" spans="1:30" ht="16.899999999999999" customHeight="1" x14ac:dyDescent="0.25">
      <c r="A90" s="45"/>
      <c r="B90" s="45"/>
      <c r="C90" s="47"/>
      <c r="D90" s="48"/>
      <c r="E90" s="51"/>
      <c r="F90" s="48"/>
      <c r="G90" s="21"/>
      <c r="H90" s="21"/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/>
    </row>
    <row r="91" spans="1:30" ht="16.899999999999999" customHeight="1" x14ac:dyDescent="0.25">
      <c r="A91" s="45"/>
      <c r="B91" s="45"/>
      <c r="C91" s="50" t="s">
        <v>175</v>
      </c>
      <c r="D91" s="48"/>
      <c r="E91" s="51" t="s">
        <v>14</v>
      </c>
      <c r="F91" s="48"/>
      <c r="G91" s="21">
        <v>1</v>
      </c>
      <c r="H91" s="21">
        <v>1</v>
      </c>
      <c r="I91" s="21">
        <v>1</v>
      </c>
      <c r="J91" s="21">
        <v>1</v>
      </c>
      <c r="K91" s="21">
        <v>1</v>
      </c>
      <c r="L91" s="21">
        <v>1</v>
      </c>
      <c r="M91" s="21">
        <v>1</v>
      </c>
      <c r="N91" s="21">
        <v>1</v>
      </c>
      <c r="O91" s="21">
        <v>1</v>
      </c>
      <c r="P91" s="21">
        <v>1</v>
      </c>
      <c r="Q91" s="21">
        <v>1</v>
      </c>
      <c r="R91" s="21">
        <v>1</v>
      </c>
      <c r="S91" s="21">
        <v>1</v>
      </c>
      <c r="T91" s="21">
        <v>1</v>
      </c>
      <c r="U91" s="21">
        <v>1</v>
      </c>
      <c r="V91" s="21">
        <v>1</v>
      </c>
      <c r="W91" s="21">
        <v>1</v>
      </c>
      <c r="X91" s="21">
        <v>1</v>
      </c>
      <c r="Y91" s="21">
        <v>1</v>
      </c>
      <c r="Z91" s="21">
        <v>1</v>
      </c>
      <c r="AA91" s="22">
        <v>1</v>
      </c>
      <c r="AB91" s="21">
        <v>0</v>
      </c>
      <c r="AC91" s="21">
        <v>0</v>
      </c>
      <c r="AD91" s="21">
        <v>0</v>
      </c>
    </row>
    <row r="92" spans="1:30" ht="16.899999999999999" customHeight="1" x14ac:dyDescent="0.25">
      <c r="A92" s="45"/>
      <c r="B92" s="45"/>
      <c r="C92" s="54" t="s">
        <v>176</v>
      </c>
      <c r="D92" s="48"/>
      <c r="E92" s="51" t="s">
        <v>15</v>
      </c>
      <c r="F92" s="48"/>
      <c r="G92" s="21">
        <v>1</v>
      </c>
      <c r="H92" s="21">
        <v>1</v>
      </c>
      <c r="I92" s="21">
        <v>1</v>
      </c>
      <c r="J92" s="21">
        <v>1</v>
      </c>
      <c r="K92" s="21">
        <v>1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1</v>
      </c>
      <c r="S92" s="21">
        <v>1</v>
      </c>
      <c r="T92" s="21">
        <v>1</v>
      </c>
      <c r="U92" s="21">
        <v>1</v>
      </c>
      <c r="V92" s="21">
        <v>1</v>
      </c>
      <c r="W92" s="21">
        <v>1</v>
      </c>
      <c r="X92" s="21">
        <v>1</v>
      </c>
      <c r="Y92" s="21">
        <v>1</v>
      </c>
      <c r="Z92" s="21">
        <v>1</v>
      </c>
      <c r="AA92" s="21">
        <v>1</v>
      </c>
      <c r="AB92" s="22">
        <v>1</v>
      </c>
      <c r="AC92" s="21">
        <v>0</v>
      </c>
      <c r="AD92" s="21">
        <v>0</v>
      </c>
    </row>
    <row r="93" spans="1:30" ht="16.899999999999999" customHeight="1" x14ac:dyDescent="0.25">
      <c r="A93" s="45"/>
      <c r="B93" s="45"/>
      <c r="C93" s="54" t="s">
        <v>177</v>
      </c>
      <c r="D93" s="48"/>
      <c r="E93" s="51" t="s">
        <v>17</v>
      </c>
      <c r="F93" s="48"/>
      <c r="G93" s="21">
        <v>3</v>
      </c>
      <c r="H93" s="21">
        <v>3</v>
      </c>
      <c r="I93" s="21">
        <v>3</v>
      </c>
      <c r="J93" s="21">
        <v>3</v>
      </c>
      <c r="K93" s="21">
        <v>3</v>
      </c>
      <c r="L93" s="21">
        <v>3</v>
      </c>
      <c r="M93" s="21">
        <v>3</v>
      </c>
      <c r="N93" s="21">
        <v>3</v>
      </c>
      <c r="O93" s="21">
        <v>3</v>
      </c>
      <c r="P93" s="21">
        <v>3</v>
      </c>
      <c r="Q93" s="21">
        <v>3</v>
      </c>
      <c r="R93" s="21">
        <v>3</v>
      </c>
      <c r="S93" s="21">
        <v>3</v>
      </c>
      <c r="T93" s="21">
        <v>3</v>
      </c>
      <c r="U93" s="21">
        <v>3</v>
      </c>
      <c r="V93" s="21">
        <v>3</v>
      </c>
      <c r="W93" s="21">
        <v>3</v>
      </c>
      <c r="X93" s="21">
        <v>3</v>
      </c>
      <c r="Y93" s="21">
        <v>3</v>
      </c>
      <c r="Z93" s="21">
        <v>3</v>
      </c>
      <c r="AA93" s="21">
        <v>3</v>
      </c>
      <c r="AB93" s="22">
        <v>3</v>
      </c>
      <c r="AC93" s="21">
        <v>0</v>
      </c>
      <c r="AD93" s="21">
        <v>0</v>
      </c>
    </row>
    <row r="94" spans="1:30" ht="16.899999999999999" customHeight="1" x14ac:dyDescent="0.25">
      <c r="A94" s="45"/>
      <c r="B94" s="45"/>
      <c r="C94" s="54" t="s">
        <v>178</v>
      </c>
      <c r="D94" s="48"/>
      <c r="E94" s="51" t="s">
        <v>17</v>
      </c>
      <c r="F94" s="48"/>
      <c r="G94" s="21">
        <v>2</v>
      </c>
      <c r="H94" s="21">
        <v>2</v>
      </c>
      <c r="I94" s="21">
        <v>2</v>
      </c>
      <c r="J94" s="21">
        <v>2</v>
      </c>
      <c r="K94" s="21">
        <v>2</v>
      </c>
      <c r="L94" s="21">
        <v>2</v>
      </c>
      <c r="M94" s="21">
        <v>2</v>
      </c>
      <c r="N94" s="21">
        <v>2</v>
      </c>
      <c r="O94" s="21">
        <v>2</v>
      </c>
      <c r="P94" s="21">
        <v>2</v>
      </c>
      <c r="Q94" s="21">
        <v>2</v>
      </c>
      <c r="R94" s="21">
        <v>2</v>
      </c>
      <c r="S94" s="21">
        <v>2</v>
      </c>
      <c r="T94" s="21">
        <v>2</v>
      </c>
      <c r="U94" s="21">
        <v>2</v>
      </c>
      <c r="V94" s="21">
        <v>2</v>
      </c>
      <c r="W94" s="21">
        <v>2</v>
      </c>
      <c r="X94" s="21">
        <v>2</v>
      </c>
      <c r="Y94" s="21">
        <v>2</v>
      </c>
      <c r="Z94" s="21">
        <v>2</v>
      </c>
      <c r="AA94" s="21">
        <v>2</v>
      </c>
      <c r="AB94" s="22">
        <v>2</v>
      </c>
      <c r="AC94" s="21">
        <v>0</v>
      </c>
      <c r="AD94" s="21">
        <v>0</v>
      </c>
    </row>
    <row r="95" spans="1:30" ht="16.899999999999999" customHeight="1" x14ac:dyDescent="0.25">
      <c r="A95" s="45"/>
      <c r="B95" s="46"/>
      <c r="C95" s="54" t="s">
        <v>179</v>
      </c>
      <c r="D95" s="48"/>
      <c r="E95" s="51" t="s">
        <v>14</v>
      </c>
      <c r="F95" s="48"/>
      <c r="G95" s="21">
        <v>1</v>
      </c>
      <c r="H95" s="21">
        <v>1</v>
      </c>
      <c r="I95" s="21">
        <v>1</v>
      </c>
      <c r="J95" s="21">
        <v>1</v>
      </c>
      <c r="K95" s="21">
        <v>1</v>
      </c>
      <c r="L95" s="21">
        <v>1</v>
      </c>
      <c r="M95" s="21">
        <v>1</v>
      </c>
      <c r="N95" s="21">
        <v>1</v>
      </c>
      <c r="O95" s="21">
        <v>1</v>
      </c>
      <c r="P95" s="21">
        <v>1</v>
      </c>
      <c r="Q95" s="21">
        <v>1</v>
      </c>
      <c r="R95" s="21">
        <v>1</v>
      </c>
      <c r="S95" s="21">
        <v>1</v>
      </c>
      <c r="T95" s="21">
        <v>1</v>
      </c>
      <c r="U95" s="21">
        <v>1</v>
      </c>
      <c r="V95" s="21">
        <v>1</v>
      </c>
      <c r="W95" s="21">
        <v>1</v>
      </c>
      <c r="X95" s="21">
        <v>1</v>
      </c>
      <c r="Y95" s="21">
        <v>1</v>
      </c>
      <c r="Z95" s="21">
        <v>1</v>
      </c>
      <c r="AA95" s="21">
        <v>1</v>
      </c>
      <c r="AB95" s="22">
        <v>1</v>
      </c>
      <c r="AC95" s="21">
        <v>0</v>
      </c>
      <c r="AD95" s="21">
        <v>0</v>
      </c>
    </row>
    <row r="96" spans="1:30" ht="16.899999999999999" customHeight="1" x14ac:dyDescent="0.25">
      <c r="A96" s="45"/>
      <c r="B96" s="44" t="s">
        <v>180</v>
      </c>
      <c r="C96" s="50" t="s">
        <v>181</v>
      </c>
      <c r="D96" s="48"/>
      <c r="E96" s="47" t="s">
        <v>25</v>
      </c>
      <c r="F96" s="48"/>
      <c r="G96" s="21">
        <v>5</v>
      </c>
      <c r="H96" s="21">
        <v>5</v>
      </c>
      <c r="I96" s="21">
        <v>5</v>
      </c>
      <c r="J96" s="21">
        <v>5</v>
      </c>
      <c r="K96" s="21">
        <v>5</v>
      </c>
      <c r="L96" s="21">
        <v>5</v>
      </c>
      <c r="M96" s="21">
        <v>5</v>
      </c>
      <c r="N96" s="21">
        <v>5</v>
      </c>
      <c r="O96" s="21">
        <v>5</v>
      </c>
      <c r="P96" s="21">
        <v>5</v>
      </c>
      <c r="Q96" s="21">
        <v>5</v>
      </c>
      <c r="R96" s="21">
        <v>5</v>
      </c>
      <c r="S96" s="21">
        <v>5</v>
      </c>
      <c r="T96" s="21">
        <v>5</v>
      </c>
      <c r="U96" s="21">
        <v>5</v>
      </c>
      <c r="V96" s="21">
        <v>5</v>
      </c>
      <c r="W96" s="21">
        <v>5</v>
      </c>
      <c r="X96" s="21">
        <v>5</v>
      </c>
      <c r="Y96" s="21">
        <v>5</v>
      </c>
      <c r="Z96" s="21">
        <v>5</v>
      </c>
      <c r="AA96" s="21">
        <v>5</v>
      </c>
      <c r="AB96" s="21">
        <v>5</v>
      </c>
      <c r="AC96" s="22">
        <v>5</v>
      </c>
      <c r="AD96" s="22">
        <v>0</v>
      </c>
    </row>
    <row r="97" spans="1:30" ht="16.899999999999999" customHeight="1" x14ac:dyDescent="0.25">
      <c r="A97" s="45"/>
      <c r="B97" s="46"/>
      <c r="C97" s="50" t="s">
        <v>182</v>
      </c>
      <c r="D97" s="48"/>
      <c r="E97" s="47" t="s">
        <v>25</v>
      </c>
      <c r="F97" s="48"/>
      <c r="G97" s="21">
        <v>5</v>
      </c>
      <c r="H97" s="21">
        <v>5</v>
      </c>
      <c r="I97" s="21">
        <v>5</v>
      </c>
      <c r="J97" s="21">
        <v>5</v>
      </c>
      <c r="K97" s="21">
        <v>5</v>
      </c>
      <c r="L97" s="21">
        <v>5</v>
      </c>
      <c r="M97" s="21">
        <v>5</v>
      </c>
      <c r="N97" s="21">
        <v>5</v>
      </c>
      <c r="O97" s="21">
        <v>5</v>
      </c>
      <c r="P97" s="21">
        <v>5</v>
      </c>
      <c r="Q97" s="21">
        <v>5</v>
      </c>
      <c r="R97" s="21">
        <v>5</v>
      </c>
      <c r="S97" s="21">
        <v>5</v>
      </c>
      <c r="T97" s="21">
        <v>5</v>
      </c>
      <c r="U97" s="21">
        <v>5</v>
      </c>
      <c r="V97" s="21">
        <v>5</v>
      </c>
      <c r="W97" s="21">
        <v>5</v>
      </c>
      <c r="X97" s="21">
        <v>5</v>
      </c>
      <c r="Y97" s="21">
        <v>5</v>
      </c>
      <c r="Z97" s="21">
        <v>5</v>
      </c>
      <c r="AA97" s="21">
        <v>5</v>
      </c>
      <c r="AB97" s="21">
        <v>5</v>
      </c>
      <c r="AC97" s="22">
        <v>5</v>
      </c>
      <c r="AD97" s="22">
        <v>0</v>
      </c>
    </row>
    <row r="98" spans="1:30" ht="16.899999999999999" customHeight="1" x14ac:dyDescent="0.25">
      <c r="A98" s="45"/>
      <c r="B98" s="63" t="s">
        <v>19</v>
      </c>
      <c r="C98" s="39"/>
      <c r="D98" s="40"/>
      <c r="E98" s="56" t="s">
        <v>12</v>
      </c>
      <c r="F98" s="48"/>
      <c r="G98" s="47">
        <v>181</v>
      </c>
      <c r="H98" s="48"/>
      <c r="I98" s="21">
        <v>181</v>
      </c>
      <c r="J98" s="21">
        <v>167</v>
      </c>
      <c r="K98" s="21">
        <v>162</v>
      </c>
      <c r="L98" s="21">
        <v>154</v>
      </c>
      <c r="M98" s="21">
        <v>140</v>
      </c>
      <c r="N98" s="21">
        <v>137</v>
      </c>
      <c r="O98" s="21">
        <v>129</v>
      </c>
      <c r="P98" s="21">
        <v>117</v>
      </c>
      <c r="Q98" s="21">
        <v>104</v>
      </c>
      <c r="R98" s="21">
        <v>96</v>
      </c>
      <c r="S98" s="21">
        <v>89</v>
      </c>
      <c r="T98" s="21">
        <v>87</v>
      </c>
      <c r="U98" s="21">
        <v>63</v>
      </c>
      <c r="V98" s="21">
        <v>48</v>
      </c>
      <c r="W98" s="21">
        <v>43</v>
      </c>
      <c r="X98" s="21">
        <v>36</v>
      </c>
      <c r="Y98" s="21">
        <v>31</v>
      </c>
      <c r="Z98" s="21">
        <v>26</v>
      </c>
      <c r="AA98" s="21">
        <v>20</v>
      </c>
      <c r="AB98" s="21">
        <v>17</v>
      </c>
      <c r="AC98" s="21">
        <v>10</v>
      </c>
      <c r="AD98" s="21">
        <f>SUM(AD16:AD97)-AD90</f>
        <v>0</v>
      </c>
    </row>
    <row r="99" spans="1:30" ht="16.899999999999999" customHeight="1" x14ac:dyDescent="0.25">
      <c r="A99" s="46"/>
      <c r="B99" s="41"/>
      <c r="C99" s="42"/>
      <c r="D99" s="43"/>
      <c r="E99" s="56" t="s">
        <v>13</v>
      </c>
      <c r="F99" s="48"/>
      <c r="G99" s="47">
        <v>184</v>
      </c>
      <c r="H99" s="48"/>
      <c r="I99" s="21">
        <v>184</v>
      </c>
      <c r="J99" s="21">
        <v>170</v>
      </c>
      <c r="K99" s="21">
        <v>161</v>
      </c>
      <c r="L99" s="21">
        <v>158</v>
      </c>
      <c r="M99" s="21">
        <v>143</v>
      </c>
      <c r="N99" s="21">
        <v>139</v>
      </c>
      <c r="O99" s="21">
        <v>133</v>
      </c>
      <c r="P99" s="21">
        <v>121</v>
      </c>
      <c r="Q99" s="21">
        <v>106</v>
      </c>
      <c r="R99" s="21">
        <v>97</v>
      </c>
      <c r="S99" s="21">
        <v>89</v>
      </c>
      <c r="T99" s="21">
        <v>75</v>
      </c>
      <c r="U99" s="21">
        <v>64</v>
      </c>
      <c r="V99" s="21">
        <v>49</v>
      </c>
      <c r="W99" s="21">
        <v>44</v>
      </c>
      <c r="X99" s="21">
        <v>36</v>
      </c>
      <c r="Y99" s="21">
        <v>31</v>
      </c>
      <c r="Z99" s="21">
        <v>26</v>
      </c>
      <c r="AA99" s="21">
        <v>20</v>
      </c>
      <c r="AB99" s="21">
        <v>17</v>
      </c>
      <c r="AC99" s="21">
        <v>10</v>
      </c>
      <c r="AD99" s="21">
        <f>SUM(AD16:AD97)-AD90-AD87</f>
        <v>0</v>
      </c>
    </row>
    <row r="120" spans="3:4" x14ac:dyDescent="0.25">
      <c r="C120" s="60"/>
      <c r="D120" s="61"/>
    </row>
  </sheetData>
  <mergeCells count="186">
    <mergeCell ref="A2:B2"/>
    <mergeCell ref="E30:F30"/>
    <mergeCell ref="E45:F45"/>
    <mergeCell ref="B20:B30"/>
    <mergeCell ref="C52:D52"/>
    <mergeCell ref="C39:D39"/>
    <mergeCell ref="B16:D16"/>
    <mergeCell ref="C72:D72"/>
    <mergeCell ref="C81:D81"/>
    <mergeCell ref="C37:D37"/>
    <mergeCell ref="B18:D18"/>
    <mergeCell ref="E37:F37"/>
    <mergeCell ref="C78:D78"/>
    <mergeCell ref="E47:F47"/>
    <mergeCell ref="G98:H98"/>
    <mergeCell ref="E42:F42"/>
    <mergeCell ref="C74:D74"/>
    <mergeCell ref="C88:D88"/>
    <mergeCell ref="E17:F17"/>
    <mergeCell ref="C26:D26"/>
    <mergeCell ref="E88:F88"/>
    <mergeCell ref="E82:F82"/>
    <mergeCell ref="C35:D35"/>
    <mergeCell ref="E35:F35"/>
    <mergeCell ref="C25:D25"/>
    <mergeCell ref="E19:F19"/>
    <mergeCell ref="C55:D55"/>
    <mergeCell ref="E28:F28"/>
    <mergeCell ref="E60:F60"/>
    <mergeCell ref="E74:F74"/>
    <mergeCell ref="E97:F97"/>
    <mergeCell ref="C96:D96"/>
    <mergeCell ref="C87:D87"/>
    <mergeCell ref="A4:B4"/>
    <mergeCell ref="E57:F57"/>
    <mergeCell ref="C32:D32"/>
    <mergeCell ref="E54:F54"/>
    <mergeCell ref="C38:D38"/>
    <mergeCell ref="E32:F32"/>
    <mergeCell ref="E21:F21"/>
    <mergeCell ref="E72:F72"/>
    <mergeCell ref="E41:F41"/>
    <mergeCell ref="B65:B74"/>
    <mergeCell ref="E56:F56"/>
    <mergeCell ref="C49:D49"/>
    <mergeCell ref="E43:F43"/>
    <mergeCell ref="B43:B64"/>
    <mergeCell ref="C24:D24"/>
    <mergeCell ref="E24:F24"/>
    <mergeCell ref="C33:D33"/>
    <mergeCell ref="E33:F33"/>
    <mergeCell ref="C42:D42"/>
    <mergeCell ref="B6:E6"/>
    <mergeCell ref="C58:D58"/>
    <mergeCell ref="E52:F52"/>
    <mergeCell ref="A1:B1"/>
    <mergeCell ref="E83:F83"/>
    <mergeCell ref="E92:F92"/>
    <mergeCell ref="E39:F39"/>
    <mergeCell ref="E44:F44"/>
    <mergeCell ref="C20:D20"/>
    <mergeCell ref="E20:F20"/>
    <mergeCell ref="C29:D29"/>
    <mergeCell ref="C85:D85"/>
    <mergeCell ref="B75:B84"/>
    <mergeCell ref="E29:F29"/>
    <mergeCell ref="C65:D65"/>
    <mergeCell ref="C84:D84"/>
    <mergeCell ref="C44:D44"/>
    <mergeCell ref="C22:D22"/>
    <mergeCell ref="E69:F69"/>
    <mergeCell ref="E84:F84"/>
    <mergeCell ref="C75:D75"/>
    <mergeCell ref="E78:F78"/>
    <mergeCell ref="C80:D80"/>
    <mergeCell ref="A3:B3"/>
    <mergeCell ref="G99:H99"/>
    <mergeCell ref="E66:F66"/>
    <mergeCell ref="C53:D53"/>
    <mergeCell ref="E18:F18"/>
    <mergeCell ref="E58:F58"/>
    <mergeCell ref="C77:D77"/>
    <mergeCell ref="E50:F50"/>
    <mergeCell ref="C34:D34"/>
    <mergeCell ref="C86:D86"/>
    <mergeCell ref="C68:D68"/>
    <mergeCell ref="E68:F68"/>
    <mergeCell ref="C94:D94"/>
    <mergeCell ref="E94:F94"/>
    <mergeCell ref="E31:F31"/>
    <mergeCell ref="C31:D31"/>
    <mergeCell ref="C59:D59"/>
    <mergeCell ref="E59:F59"/>
    <mergeCell ref="C46:D46"/>
    <mergeCell ref="C21:D21"/>
    <mergeCell ref="E77:F77"/>
    <mergeCell ref="E46:F46"/>
    <mergeCell ref="E86:F86"/>
    <mergeCell ref="C95:D95"/>
    <mergeCell ref="C51:D51"/>
    <mergeCell ref="A16:A99"/>
    <mergeCell ref="E75:F75"/>
    <mergeCell ref="C28:D28"/>
    <mergeCell ref="E22:F22"/>
    <mergeCell ref="E53:F53"/>
    <mergeCell ref="E93:F93"/>
    <mergeCell ref="C69:D69"/>
    <mergeCell ref="C83:D83"/>
    <mergeCell ref="C92:D92"/>
    <mergeCell ref="C30:D30"/>
    <mergeCell ref="E55:F55"/>
    <mergeCell ref="E67:F67"/>
    <mergeCell ref="B17:D17"/>
    <mergeCell ref="C45:D45"/>
    <mergeCell ref="C97:D97"/>
    <mergeCell ref="E48:F48"/>
    <mergeCell ref="B19:D19"/>
    <mergeCell ref="E38:F38"/>
    <mergeCell ref="C47:D47"/>
    <mergeCell ref="C40:D40"/>
    <mergeCell ref="E40:F40"/>
    <mergeCell ref="B31:B42"/>
    <mergeCell ref="C90:D90"/>
    <mergeCell ref="C60:D60"/>
    <mergeCell ref="C120:D120"/>
    <mergeCell ref="E49:F49"/>
    <mergeCell ref="C27:D27"/>
    <mergeCell ref="E27:F27"/>
    <mergeCell ref="C36:D36"/>
    <mergeCell ref="E36:F36"/>
    <mergeCell ref="B85:B95"/>
    <mergeCell ref="E91:F91"/>
    <mergeCell ref="E85:F85"/>
    <mergeCell ref="C67:D67"/>
    <mergeCell ref="E90:F90"/>
    <mergeCell ref="C71:D71"/>
    <mergeCell ref="C91:D91"/>
    <mergeCell ref="C82:D82"/>
    <mergeCell ref="E76:F76"/>
    <mergeCell ref="C57:D57"/>
    <mergeCell ref="C66:D66"/>
    <mergeCell ref="E80:F80"/>
    <mergeCell ref="E95:F95"/>
    <mergeCell ref="E89:F89"/>
    <mergeCell ref="C61:D61"/>
    <mergeCell ref="E61:F61"/>
    <mergeCell ref="C70:D70"/>
    <mergeCell ref="B98:D99"/>
    <mergeCell ref="C93:D93"/>
    <mergeCell ref="C50:D50"/>
    <mergeCell ref="C56:D56"/>
    <mergeCell ref="E65:F65"/>
    <mergeCell ref="E34:F34"/>
    <mergeCell ref="B13:C13"/>
    <mergeCell ref="C43:D43"/>
    <mergeCell ref="E99:F99"/>
    <mergeCell ref="C76:D76"/>
    <mergeCell ref="E26:F26"/>
    <mergeCell ref="E16:F16"/>
    <mergeCell ref="E25:F25"/>
    <mergeCell ref="E15:F15"/>
    <mergeCell ref="E70:F70"/>
    <mergeCell ref="C23:D23"/>
    <mergeCell ref="C48:D48"/>
    <mergeCell ref="E81:F81"/>
    <mergeCell ref="E96:F96"/>
    <mergeCell ref="B96:B97"/>
    <mergeCell ref="E98:F98"/>
    <mergeCell ref="C62:D62"/>
    <mergeCell ref="C15:D15"/>
    <mergeCell ref="E62:F62"/>
    <mergeCell ref="E71:F71"/>
    <mergeCell ref="E23:F23"/>
    <mergeCell ref="C89:D89"/>
    <mergeCell ref="C64:D64"/>
    <mergeCell ref="C79:D79"/>
    <mergeCell ref="E64:F64"/>
    <mergeCell ref="C73:D73"/>
    <mergeCell ref="E79:F79"/>
    <mergeCell ref="E73:F73"/>
    <mergeCell ref="E51:F51"/>
    <mergeCell ref="E87:F87"/>
    <mergeCell ref="C54:D54"/>
    <mergeCell ref="C63:D63"/>
    <mergeCell ref="C41:D41"/>
    <mergeCell ref="E63:F63"/>
  </mergeCells>
  <pageMargins left="0.7" right="0.7" top="0.75" bottom="0.75" header="0.3" footer="0.3"/>
  <pageSetup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9"/>
  <sheetViews>
    <sheetView topLeftCell="A49" zoomScale="46" zoomScaleNormal="70" workbookViewId="0">
      <selection activeCell="C23" sqref="C23:D23"/>
    </sheetView>
  </sheetViews>
  <sheetFormatPr defaultColWidth="9.140625" defaultRowHeight="16.5" x14ac:dyDescent="0.25"/>
  <cols>
    <col min="1" max="1" width="19.5703125" style="1" customWidth="1"/>
    <col min="2" max="2" width="19" style="1" customWidth="1"/>
    <col min="3" max="3" width="54.7109375" style="1" customWidth="1"/>
    <col min="4" max="4" width="11.5703125" style="1" customWidth="1"/>
    <col min="5" max="5" width="9.5703125" style="1" customWidth="1"/>
    <col min="6" max="6" width="19.28515625" style="1" customWidth="1"/>
    <col min="7" max="7" width="6" style="1" customWidth="1"/>
    <col min="8" max="8" width="6.140625" style="1" customWidth="1"/>
    <col min="9" max="12" width="6" style="1" customWidth="1"/>
    <col min="13" max="13" width="6.140625" style="1" customWidth="1"/>
    <col min="14" max="17" width="6" style="1" customWidth="1"/>
    <col min="18" max="18" width="6.140625" style="1" customWidth="1"/>
    <col min="19" max="21" width="6" style="1" customWidth="1"/>
    <col min="22" max="24" width="6.140625" style="1" customWidth="1"/>
    <col min="25" max="26" width="6" style="1" customWidth="1"/>
    <col min="27" max="27" width="6.140625" style="1" customWidth="1"/>
    <col min="28" max="28" width="6" style="1" customWidth="1"/>
    <col min="29" max="29" width="9.140625" style="1" customWidth="1"/>
    <col min="30" max="16384" width="9.140625" style="1"/>
  </cols>
  <sheetData>
    <row r="1" spans="1:29" ht="17.45" customHeight="1" thickBot="1" x14ac:dyDescent="0.3">
      <c r="A1" s="58" t="s">
        <v>0</v>
      </c>
      <c r="B1" s="53"/>
      <c r="C1" s="5" t="s">
        <v>1</v>
      </c>
      <c r="E1" s="10"/>
      <c r="F1" s="11" t="s">
        <v>104</v>
      </c>
    </row>
    <row r="2" spans="1:29" ht="17.45" customHeight="1" thickBot="1" x14ac:dyDescent="0.3">
      <c r="A2" s="58" t="s">
        <v>3</v>
      </c>
      <c r="B2" s="53"/>
      <c r="C2" s="3" t="s">
        <v>183</v>
      </c>
      <c r="E2" s="12"/>
      <c r="F2" s="13" t="s">
        <v>106</v>
      </c>
    </row>
    <row r="3" spans="1:29" ht="17.45" customHeight="1" thickBot="1" x14ac:dyDescent="0.3">
      <c r="A3" s="58" t="s">
        <v>6</v>
      </c>
      <c r="B3" s="53"/>
      <c r="C3" s="4">
        <v>46137</v>
      </c>
      <c r="E3" s="14"/>
      <c r="F3" s="13" t="s">
        <v>5</v>
      </c>
    </row>
    <row r="4" spans="1:29" ht="18" customHeight="1" thickBot="1" x14ac:dyDescent="0.3">
      <c r="A4" s="58" t="s">
        <v>8</v>
      </c>
      <c r="B4" s="53"/>
      <c r="C4" s="4">
        <v>46155</v>
      </c>
      <c r="D4" s="1" t="s">
        <v>184</v>
      </c>
      <c r="E4" s="15"/>
      <c r="F4" s="13" t="s">
        <v>107</v>
      </c>
    </row>
    <row r="5" spans="1:29" ht="18" customHeight="1" thickBot="1" x14ac:dyDescent="0.3">
      <c r="E5" s="16"/>
      <c r="F5" s="17" t="s">
        <v>7</v>
      </c>
    </row>
    <row r="6" spans="1:29" ht="17.45" customHeight="1" thickBot="1" x14ac:dyDescent="0.3">
      <c r="B6" s="52" t="s">
        <v>185</v>
      </c>
      <c r="C6" s="57"/>
      <c r="D6" s="57"/>
      <c r="E6" s="53"/>
    </row>
    <row r="7" spans="1:29" ht="17.45" customHeight="1" thickBot="1" x14ac:dyDescent="0.3">
      <c r="B7" s="7" t="s">
        <v>10</v>
      </c>
      <c r="C7" s="7" t="s">
        <v>11</v>
      </c>
      <c r="D7" s="7" t="s">
        <v>12</v>
      </c>
      <c r="E7" s="7" t="s">
        <v>13</v>
      </c>
    </row>
    <row r="8" spans="1:29" ht="17.45" customHeight="1" thickBot="1" x14ac:dyDescent="0.3">
      <c r="B8" s="9">
        <v>1</v>
      </c>
      <c r="C8" s="3" t="s">
        <v>14</v>
      </c>
      <c r="D8" s="3">
        <v>69.8</v>
      </c>
      <c r="E8" s="3">
        <v>66.2</v>
      </c>
    </row>
    <row r="9" spans="1:29" ht="17.45" customHeight="1" thickBot="1" x14ac:dyDescent="0.3">
      <c r="B9" s="9">
        <v>2</v>
      </c>
      <c r="C9" s="3" t="s">
        <v>15</v>
      </c>
      <c r="D9" s="3">
        <v>56.3</v>
      </c>
      <c r="E9" s="3">
        <v>54.7</v>
      </c>
    </row>
    <row r="10" spans="1:29" ht="17.45" customHeight="1" thickBot="1" x14ac:dyDescent="0.3">
      <c r="B10" s="9">
        <v>3</v>
      </c>
      <c r="C10" s="3" t="s">
        <v>16</v>
      </c>
      <c r="D10" s="3">
        <v>29.8</v>
      </c>
      <c r="E10" s="3">
        <v>30.2</v>
      </c>
    </row>
    <row r="11" spans="1:29" ht="17.45" customHeight="1" thickBot="1" x14ac:dyDescent="0.3">
      <c r="B11" s="9">
        <v>4</v>
      </c>
      <c r="C11" s="3" t="s">
        <v>17</v>
      </c>
      <c r="D11" s="3">
        <v>17.3</v>
      </c>
      <c r="E11" s="3">
        <v>16.7</v>
      </c>
    </row>
    <row r="12" spans="1:29" ht="17.45" customHeight="1" thickBot="1" x14ac:dyDescent="0.3">
      <c r="B12" s="9">
        <v>5</v>
      </c>
      <c r="C12" s="3" t="s">
        <v>18</v>
      </c>
      <c r="D12" s="3">
        <v>41.8</v>
      </c>
      <c r="E12" s="3">
        <v>43.2</v>
      </c>
    </row>
    <row r="13" spans="1:29" ht="17.45" customHeight="1" thickBot="1" x14ac:dyDescent="0.3">
      <c r="B13" s="52" t="s">
        <v>19</v>
      </c>
      <c r="C13" s="53"/>
      <c r="D13" s="6">
        <v>215</v>
      </c>
      <c r="E13" s="6">
        <v>211</v>
      </c>
    </row>
    <row r="15" spans="1:29" ht="63.75" customHeight="1" x14ac:dyDescent="0.25">
      <c r="A15" s="18" t="s">
        <v>20</v>
      </c>
      <c r="B15" s="18" t="s">
        <v>21</v>
      </c>
      <c r="C15" s="49" t="s">
        <v>22</v>
      </c>
      <c r="D15" s="48"/>
      <c r="E15" s="49" t="s">
        <v>23</v>
      </c>
      <c r="F15" s="48"/>
      <c r="G15" s="19" t="s">
        <v>12</v>
      </c>
      <c r="H15" s="19" t="s">
        <v>13</v>
      </c>
      <c r="I15" s="20">
        <v>46137</v>
      </c>
      <c r="J15" s="20">
        <v>46138</v>
      </c>
      <c r="K15" s="20">
        <v>46139</v>
      </c>
      <c r="L15" s="20">
        <v>46140</v>
      </c>
      <c r="M15" s="20">
        <v>46141</v>
      </c>
      <c r="N15" s="20">
        <v>46142</v>
      </c>
      <c r="O15" s="20">
        <v>46143</v>
      </c>
      <c r="P15" s="20">
        <v>46144</v>
      </c>
      <c r="Q15" s="20">
        <v>46145</v>
      </c>
      <c r="R15" s="20">
        <v>46146</v>
      </c>
      <c r="S15" s="20">
        <v>46147</v>
      </c>
      <c r="T15" s="20">
        <v>46148</v>
      </c>
      <c r="U15" s="20">
        <v>46149</v>
      </c>
      <c r="V15" s="20">
        <v>46150</v>
      </c>
      <c r="W15" s="20">
        <v>46151</v>
      </c>
      <c r="X15" s="20">
        <v>46152</v>
      </c>
      <c r="Y15" s="20">
        <v>46153</v>
      </c>
      <c r="Z15" s="20">
        <v>46154</v>
      </c>
      <c r="AA15" s="20">
        <v>46155</v>
      </c>
      <c r="AB15" s="20"/>
      <c r="AC15" s="20">
        <v>45635</v>
      </c>
    </row>
    <row r="16" spans="1:29" x14ac:dyDescent="0.25">
      <c r="A16" s="44"/>
      <c r="B16" s="50" t="s">
        <v>24</v>
      </c>
      <c r="C16" s="55"/>
      <c r="D16" s="48"/>
      <c r="E16" s="47" t="s">
        <v>25</v>
      </c>
      <c r="F16" s="48"/>
      <c r="G16" s="21">
        <v>10</v>
      </c>
      <c r="H16" s="21">
        <v>10</v>
      </c>
      <c r="I16" s="22">
        <v>10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</row>
    <row r="17" spans="1:29" x14ac:dyDescent="0.25">
      <c r="A17" s="45"/>
      <c r="B17" s="50" t="s">
        <v>186</v>
      </c>
      <c r="C17" s="55"/>
      <c r="D17" s="48"/>
      <c r="E17" s="47" t="s">
        <v>27</v>
      </c>
      <c r="F17" s="48"/>
      <c r="G17" s="21">
        <v>4</v>
      </c>
      <c r="H17" s="21">
        <v>4</v>
      </c>
      <c r="I17" s="22">
        <v>4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</row>
    <row r="18" spans="1:29" x14ac:dyDescent="0.25">
      <c r="A18" s="45"/>
      <c r="B18" s="47"/>
      <c r="C18" s="55"/>
      <c r="D18" s="48"/>
      <c r="E18" s="47"/>
      <c r="F18" s="48"/>
      <c r="G18" s="21"/>
      <c r="H18" s="21"/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/>
    </row>
    <row r="19" spans="1:29" x14ac:dyDescent="0.25">
      <c r="A19" s="45"/>
      <c r="B19" s="50" t="s">
        <v>28</v>
      </c>
      <c r="C19" s="55"/>
      <c r="D19" s="48"/>
      <c r="E19" s="47" t="s">
        <v>29</v>
      </c>
      <c r="F19" s="48"/>
      <c r="G19" s="21">
        <v>4</v>
      </c>
      <c r="H19" s="21">
        <v>4</v>
      </c>
      <c r="I19" s="22">
        <v>4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</row>
    <row r="20" spans="1:29" ht="17.25" customHeight="1" x14ac:dyDescent="0.25">
      <c r="A20" s="45"/>
      <c r="B20" s="44" t="s">
        <v>30</v>
      </c>
      <c r="C20" s="50" t="s">
        <v>187</v>
      </c>
      <c r="D20" s="48"/>
      <c r="E20" s="47" t="s">
        <v>14</v>
      </c>
      <c r="F20" s="48"/>
      <c r="G20" s="21">
        <v>2</v>
      </c>
      <c r="H20" s="21">
        <v>2</v>
      </c>
      <c r="I20" s="21">
        <v>2</v>
      </c>
      <c r="J20" s="22">
        <v>2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</row>
    <row r="21" spans="1:29" x14ac:dyDescent="0.25">
      <c r="A21" s="45"/>
      <c r="B21" s="45"/>
      <c r="C21" s="50" t="s">
        <v>188</v>
      </c>
      <c r="D21" s="48"/>
      <c r="E21" s="47" t="s">
        <v>16</v>
      </c>
      <c r="F21" s="48"/>
      <c r="G21" s="21">
        <v>1</v>
      </c>
      <c r="H21" s="21">
        <v>1</v>
      </c>
      <c r="I21" s="21">
        <v>1</v>
      </c>
      <c r="J21" s="22">
        <v>1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</row>
    <row r="22" spans="1:29" x14ac:dyDescent="0.25">
      <c r="A22" s="45"/>
      <c r="B22" s="45"/>
      <c r="C22" s="50" t="s">
        <v>189</v>
      </c>
      <c r="D22" s="48"/>
      <c r="E22" s="47" t="s">
        <v>14</v>
      </c>
      <c r="F22" s="48"/>
      <c r="G22" s="21">
        <v>2</v>
      </c>
      <c r="H22" s="21">
        <v>2</v>
      </c>
      <c r="I22" s="21">
        <v>2</v>
      </c>
      <c r="J22" s="22">
        <v>2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</row>
    <row r="23" spans="1:29" x14ac:dyDescent="0.25">
      <c r="A23" s="45"/>
      <c r="B23" s="45"/>
      <c r="C23" s="50" t="s">
        <v>190</v>
      </c>
      <c r="D23" s="48"/>
      <c r="E23" s="47" t="s">
        <v>14</v>
      </c>
      <c r="F23" s="48"/>
      <c r="G23" s="21">
        <v>3</v>
      </c>
      <c r="H23" s="21">
        <v>2</v>
      </c>
      <c r="I23" s="21">
        <v>3</v>
      </c>
      <c r="J23" s="21">
        <v>3</v>
      </c>
      <c r="K23" s="24">
        <v>3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</row>
    <row r="24" spans="1:29" x14ac:dyDescent="0.25">
      <c r="A24" s="45"/>
      <c r="B24" s="45"/>
      <c r="C24" s="50" t="s">
        <v>191</v>
      </c>
      <c r="D24" s="48"/>
      <c r="E24" s="47" t="s">
        <v>15</v>
      </c>
      <c r="F24" s="48"/>
      <c r="G24" s="21">
        <v>2</v>
      </c>
      <c r="H24" s="21">
        <v>2</v>
      </c>
      <c r="I24" s="21">
        <v>2</v>
      </c>
      <c r="J24" s="21">
        <v>2</v>
      </c>
      <c r="K24" s="22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</row>
    <row r="25" spans="1:29" x14ac:dyDescent="0.25">
      <c r="A25" s="45"/>
      <c r="B25" s="45"/>
      <c r="C25" s="47"/>
      <c r="D25" s="48"/>
      <c r="E25" s="47"/>
      <c r="F25" s="48"/>
      <c r="G25" s="21"/>
      <c r="H25" s="21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/>
    </row>
    <row r="26" spans="1:29" x14ac:dyDescent="0.25">
      <c r="A26" s="45"/>
      <c r="B26" s="45"/>
      <c r="C26" s="54" t="s">
        <v>192</v>
      </c>
      <c r="D26" s="48"/>
      <c r="E26" s="47" t="s">
        <v>18</v>
      </c>
      <c r="F26" s="48"/>
      <c r="G26" s="21">
        <v>1</v>
      </c>
      <c r="H26" s="21">
        <v>1</v>
      </c>
      <c r="I26" s="21">
        <v>1</v>
      </c>
      <c r="J26" s="21">
        <v>1</v>
      </c>
      <c r="K26" s="22">
        <v>1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</row>
    <row r="27" spans="1:29" x14ac:dyDescent="0.25">
      <c r="A27" s="45"/>
      <c r="B27" s="45"/>
      <c r="C27" s="54" t="s">
        <v>193</v>
      </c>
      <c r="D27" s="48"/>
      <c r="E27" s="47" t="s">
        <v>18</v>
      </c>
      <c r="F27" s="48"/>
      <c r="G27" s="21">
        <v>1</v>
      </c>
      <c r="H27" s="21">
        <v>1</v>
      </c>
      <c r="I27" s="21">
        <v>1</v>
      </c>
      <c r="J27" s="21">
        <v>1</v>
      </c>
      <c r="K27" s="22">
        <v>1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</row>
    <row r="28" spans="1:29" x14ac:dyDescent="0.25">
      <c r="A28" s="45"/>
      <c r="B28" s="45"/>
      <c r="C28" s="54" t="s">
        <v>194</v>
      </c>
      <c r="D28" s="48"/>
      <c r="E28" s="47" t="s">
        <v>14</v>
      </c>
      <c r="F28" s="48"/>
      <c r="G28" s="21">
        <v>3</v>
      </c>
      <c r="H28" s="21">
        <v>2</v>
      </c>
      <c r="I28" s="21">
        <v>3</v>
      </c>
      <c r="J28" s="21">
        <v>3</v>
      </c>
      <c r="K28" s="21">
        <v>3</v>
      </c>
      <c r="L28" s="24">
        <v>3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</row>
    <row r="29" spans="1:29" x14ac:dyDescent="0.25">
      <c r="A29" s="45"/>
      <c r="B29" s="45"/>
      <c r="C29" s="54" t="s">
        <v>195</v>
      </c>
      <c r="D29" s="48"/>
      <c r="E29" s="47" t="s">
        <v>15</v>
      </c>
      <c r="F29" s="48"/>
      <c r="G29" s="21">
        <v>2</v>
      </c>
      <c r="H29" s="21">
        <v>2</v>
      </c>
      <c r="I29" s="21">
        <v>2</v>
      </c>
      <c r="J29" s="21">
        <v>2</v>
      </c>
      <c r="K29" s="21">
        <v>2</v>
      </c>
      <c r="L29" s="22">
        <v>2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</row>
    <row r="30" spans="1:29" x14ac:dyDescent="0.25">
      <c r="A30" s="45"/>
      <c r="B30" s="45"/>
      <c r="C30" s="47"/>
      <c r="D30" s="48"/>
      <c r="E30" s="47"/>
      <c r="F30" s="48"/>
      <c r="G30" s="21"/>
      <c r="H30" s="21"/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/>
    </row>
    <row r="31" spans="1:29" x14ac:dyDescent="0.25">
      <c r="A31" s="45"/>
      <c r="B31" s="45"/>
      <c r="C31" s="54" t="s">
        <v>196</v>
      </c>
      <c r="D31" s="48"/>
      <c r="E31" s="47" t="s">
        <v>15</v>
      </c>
      <c r="F31" s="48"/>
      <c r="G31" s="21">
        <v>3</v>
      </c>
      <c r="H31" s="21">
        <v>2</v>
      </c>
      <c r="I31" s="21">
        <v>3</v>
      </c>
      <c r="J31" s="21">
        <v>3</v>
      </c>
      <c r="K31" s="21">
        <v>3</v>
      </c>
      <c r="L31" s="21">
        <v>3</v>
      </c>
      <c r="M31" s="24">
        <v>3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</row>
    <row r="32" spans="1:29" x14ac:dyDescent="0.25">
      <c r="A32" s="45"/>
      <c r="B32" s="45"/>
      <c r="C32" s="50" t="s">
        <v>197</v>
      </c>
      <c r="D32" s="48"/>
      <c r="E32" s="47" t="s">
        <v>25</v>
      </c>
      <c r="F32" s="48"/>
      <c r="G32" s="21">
        <v>9</v>
      </c>
      <c r="H32" s="21">
        <v>10</v>
      </c>
      <c r="I32" s="21">
        <v>9</v>
      </c>
      <c r="J32" s="21">
        <v>9</v>
      </c>
      <c r="K32" s="21">
        <v>9</v>
      </c>
      <c r="L32" s="21">
        <v>9</v>
      </c>
      <c r="M32" s="23">
        <v>9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</row>
    <row r="33" spans="1:29" x14ac:dyDescent="0.25">
      <c r="A33" s="45"/>
      <c r="B33" s="46"/>
      <c r="C33" s="47"/>
      <c r="D33" s="48"/>
      <c r="E33" s="47"/>
      <c r="F33" s="48"/>
      <c r="G33" s="21"/>
      <c r="H33" s="21"/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/>
    </row>
    <row r="34" spans="1:29" x14ac:dyDescent="0.25">
      <c r="A34" s="45"/>
      <c r="B34" s="44" t="s">
        <v>40</v>
      </c>
      <c r="C34" s="50" t="s">
        <v>198</v>
      </c>
      <c r="D34" s="48"/>
      <c r="E34" s="47" t="s">
        <v>15</v>
      </c>
      <c r="F34" s="48"/>
      <c r="G34" s="21">
        <v>2</v>
      </c>
      <c r="H34" s="21">
        <v>1</v>
      </c>
      <c r="I34" s="21">
        <v>2</v>
      </c>
      <c r="J34" s="21">
        <v>2</v>
      </c>
      <c r="K34" s="21">
        <v>2</v>
      </c>
      <c r="L34" s="21">
        <v>2</v>
      </c>
      <c r="M34" s="24">
        <v>2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</row>
    <row r="35" spans="1:29" x14ac:dyDescent="0.25">
      <c r="A35" s="45"/>
      <c r="B35" s="45"/>
      <c r="C35" s="50" t="s">
        <v>199</v>
      </c>
      <c r="D35" s="48"/>
      <c r="E35" s="47" t="s">
        <v>15</v>
      </c>
      <c r="F35" s="48"/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>
        <v>1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</row>
    <row r="36" spans="1:29" x14ac:dyDescent="0.25">
      <c r="A36" s="45"/>
      <c r="B36" s="45"/>
      <c r="C36" s="50" t="s">
        <v>200</v>
      </c>
      <c r="D36" s="48"/>
      <c r="E36" s="47" t="s">
        <v>17</v>
      </c>
      <c r="F36" s="48"/>
      <c r="G36" s="21">
        <v>2</v>
      </c>
      <c r="H36" s="21">
        <v>1</v>
      </c>
      <c r="I36" s="21">
        <v>2</v>
      </c>
      <c r="J36" s="21">
        <v>2</v>
      </c>
      <c r="K36" s="21">
        <v>2</v>
      </c>
      <c r="L36" s="21">
        <v>2</v>
      </c>
      <c r="M36" s="21">
        <v>2</v>
      </c>
      <c r="N36" s="24">
        <v>2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</row>
    <row r="37" spans="1:29" x14ac:dyDescent="0.25">
      <c r="A37" s="45"/>
      <c r="B37" s="45"/>
      <c r="C37" s="50" t="s">
        <v>201</v>
      </c>
      <c r="D37" s="48"/>
      <c r="E37" s="47" t="s">
        <v>18</v>
      </c>
      <c r="F37" s="48"/>
      <c r="G37" s="21">
        <v>2</v>
      </c>
      <c r="H37" s="21">
        <v>2</v>
      </c>
      <c r="I37" s="21">
        <v>2</v>
      </c>
      <c r="J37" s="21">
        <v>2</v>
      </c>
      <c r="K37" s="21">
        <v>2</v>
      </c>
      <c r="L37" s="21">
        <v>2</v>
      </c>
      <c r="M37" s="21">
        <v>2</v>
      </c>
      <c r="N37" s="22">
        <v>2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</row>
    <row r="38" spans="1:29" x14ac:dyDescent="0.25">
      <c r="A38" s="45"/>
      <c r="B38" s="45"/>
      <c r="C38" s="50" t="s">
        <v>202</v>
      </c>
      <c r="D38" s="48"/>
      <c r="E38" s="47" t="s">
        <v>14</v>
      </c>
      <c r="F38" s="48"/>
      <c r="G38" s="21">
        <v>2</v>
      </c>
      <c r="H38" s="21">
        <v>1</v>
      </c>
      <c r="I38" s="21">
        <v>2</v>
      </c>
      <c r="J38" s="21">
        <v>2</v>
      </c>
      <c r="K38" s="21">
        <v>2</v>
      </c>
      <c r="L38" s="21">
        <v>2</v>
      </c>
      <c r="M38" s="21">
        <v>2</v>
      </c>
      <c r="N38" s="24">
        <v>2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</row>
    <row r="39" spans="1:29" x14ac:dyDescent="0.25">
      <c r="A39" s="45"/>
      <c r="B39" s="45"/>
      <c r="C39" s="47"/>
      <c r="D39" s="48"/>
      <c r="E39" s="47"/>
      <c r="F39" s="48"/>
      <c r="G39" s="21"/>
      <c r="H39" s="21"/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/>
    </row>
    <row r="40" spans="1:29" x14ac:dyDescent="0.25">
      <c r="A40" s="45"/>
      <c r="B40" s="45"/>
      <c r="C40" s="54" t="s">
        <v>203</v>
      </c>
      <c r="D40" s="48"/>
      <c r="E40" s="47" t="s">
        <v>15</v>
      </c>
      <c r="F40" s="48"/>
      <c r="G40" s="21">
        <v>1</v>
      </c>
      <c r="H40" s="21">
        <v>1</v>
      </c>
      <c r="I40" s="21">
        <v>1</v>
      </c>
      <c r="J40" s="21">
        <v>1</v>
      </c>
      <c r="K40" s="21">
        <v>1</v>
      </c>
      <c r="L40" s="21">
        <v>1</v>
      </c>
      <c r="M40" s="21">
        <v>1</v>
      </c>
      <c r="N40" s="22">
        <v>1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</row>
    <row r="41" spans="1:29" x14ac:dyDescent="0.25">
      <c r="A41" s="45"/>
      <c r="B41" s="45"/>
      <c r="C41" s="50" t="s">
        <v>204</v>
      </c>
      <c r="D41" s="48"/>
      <c r="E41" s="47" t="s">
        <v>16</v>
      </c>
      <c r="F41" s="48"/>
      <c r="G41" s="21">
        <v>1</v>
      </c>
      <c r="H41" s="21">
        <v>1</v>
      </c>
      <c r="I41" s="21">
        <v>1</v>
      </c>
      <c r="J41" s="21">
        <v>1</v>
      </c>
      <c r="K41" s="21">
        <v>1</v>
      </c>
      <c r="L41" s="21">
        <v>1</v>
      </c>
      <c r="M41" s="21">
        <v>1</v>
      </c>
      <c r="N41" s="22">
        <v>1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</row>
    <row r="42" spans="1:29" x14ac:dyDescent="0.25">
      <c r="A42" s="45"/>
      <c r="B42" s="45"/>
      <c r="C42" s="50" t="s">
        <v>205</v>
      </c>
      <c r="D42" s="48"/>
      <c r="E42" s="47" t="s">
        <v>18</v>
      </c>
      <c r="F42" s="48"/>
      <c r="G42" s="21">
        <v>2</v>
      </c>
      <c r="H42" s="21">
        <v>2</v>
      </c>
      <c r="I42" s="21">
        <v>2</v>
      </c>
      <c r="J42" s="21">
        <v>2</v>
      </c>
      <c r="K42" s="21">
        <v>2</v>
      </c>
      <c r="L42" s="21">
        <v>2</v>
      </c>
      <c r="M42" s="21">
        <v>2</v>
      </c>
      <c r="N42" s="22">
        <v>2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</row>
    <row r="43" spans="1:29" x14ac:dyDescent="0.25">
      <c r="A43" s="45"/>
      <c r="B43" s="45"/>
      <c r="C43" s="54" t="s">
        <v>206</v>
      </c>
      <c r="D43" s="48"/>
      <c r="E43" s="47" t="s">
        <v>14</v>
      </c>
      <c r="F43" s="48"/>
      <c r="G43" s="21">
        <v>2</v>
      </c>
      <c r="H43" s="21">
        <v>1</v>
      </c>
      <c r="I43" s="21">
        <v>2</v>
      </c>
      <c r="J43" s="21">
        <v>2</v>
      </c>
      <c r="K43" s="21">
        <v>2</v>
      </c>
      <c r="L43" s="21">
        <v>2</v>
      </c>
      <c r="M43" s="21">
        <v>2</v>
      </c>
      <c r="N43" s="21">
        <v>2</v>
      </c>
      <c r="O43" s="24">
        <v>2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</row>
    <row r="44" spans="1:29" x14ac:dyDescent="0.25">
      <c r="A44" s="45"/>
      <c r="B44" s="45"/>
      <c r="C44" s="54" t="s">
        <v>207</v>
      </c>
      <c r="D44" s="48"/>
      <c r="E44" s="47" t="s">
        <v>16</v>
      </c>
      <c r="F44" s="48"/>
      <c r="G44" s="21">
        <v>2</v>
      </c>
      <c r="H44" s="21">
        <v>2</v>
      </c>
      <c r="I44" s="21">
        <v>2</v>
      </c>
      <c r="J44" s="21">
        <v>2</v>
      </c>
      <c r="K44" s="21">
        <v>2</v>
      </c>
      <c r="L44" s="21">
        <v>2</v>
      </c>
      <c r="M44" s="21">
        <v>2</v>
      </c>
      <c r="N44" s="21">
        <v>2</v>
      </c>
      <c r="O44" s="22">
        <v>2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</row>
    <row r="45" spans="1:29" x14ac:dyDescent="0.25">
      <c r="A45" s="45"/>
      <c r="B45" s="45"/>
      <c r="C45" s="50" t="s">
        <v>208</v>
      </c>
      <c r="D45" s="48"/>
      <c r="E45" s="47" t="s">
        <v>25</v>
      </c>
      <c r="F45" s="48"/>
      <c r="G45" s="21">
        <v>9</v>
      </c>
      <c r="H45" s="21">
        <v>10</v>
      </c>
      <c r="I45" s="21">
        <v>9</v>
      </c>
      <c r="J45" s="21">
        <v>9</v>
      </c>
      <c r="K45" s="21">
        <v>9</v>
      </c>
      <c r="L45" s="21">
        <v>9</v>
      </c>
      <c r="M45" s="21">
        <v>9</v>
      </c>
      <c r="N45" s="21">
        <v>9</v>
      </c>
      <c r="O45" s="23">
        <v>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</row>
    <row r="46" spans="1:29" x14ac:dyDescent="0.25">
      <c r="A46" s="45"/>
      <c r="B46" s="46"/>
      <c r="C46" s="47"/>
      <c r="D46" s="48"/>
      <c r="E46" s="47"/>
      <c r="F46" s="48"/>
      <c r="G46" s="21"/>
      <c r="H46" s="21"/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/>
    </row>
    <row r="47" spans="1:29" x14ac:dyDescent="0.25">
      <c r="A47" s="45"/>
      <c r="B47" s="44" t="s">
        <v>50</v>
      </c>
      <c r="C47" s="50" t="s">
        <v>209</v>
      </c>
      <c r="D47" s="48"/>
      <c r="E47" s="47" t="s">
        <v>14</v>
      </c>
      <c r="F47" s="48"/>
      <c r="G47" s="21">
        <v>3</v>
      </c>
      <c r="H47" s="21">
        <v>3</v>
      </c>
      <c r="I47" s="21">
        <v>3</v>
      </c>
      <c r="J47" s="21">
        <v>3</v>
      </c>
      <c r="K47" s="21">
        <v>3</v>
      </c>
      <c r="L47" s="21">
        <v>3</v>
      </c>
      <c r="M47" s="21">
        <v>3</v>
      </c>
      <c r="N47" s="21">
        <v>3</v>
      </c>
      <c r="O47" s="22">
        <v>3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</row>
    <row r="48" spans="1:29" x14ac:dyDescent="0.25">
      <c r="A48" s="45"/>
      <c r="B48" s="45"/>
      <c r="C48" s="50" t="s">
        <v>210</v>
      </c>
      <c r="D48" s="48"/>
      <c r="E48" s="47" t="s">
        <v>14</v>
      </c>
      <c r="F48" s="48"/>
      <c r="G48" s="21">
        <v>4</v>
      </c>
      <c r="H48" s="21">
        <v>4</v>
      </c>
      <c r="I48" s="21">
        <v>4</v>
      </c>
      <c r="J48" s="21">
        <v>4</v>
      </c>
      <c r="K48" s="21">
        <v>4</v>
      </c>
      <c r="L48" s="21">
        <v>4</v>
      </c>
      <c r="M48" s="21">
        <v>4</v>
      </c>
      <c r="N48" s="21">
        <v>4</v>
      </c>
      <c r="O48" s="22">
        <v>4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</row>
    <row r="49" spans="1:29" x14ac:dyDescent="0.25">
      <c r="A49" s="45"/>
      <c r="B49" s="45"/>
      <c r="C49" s="50" t="s">
        <v>211</v>
      </c>
      <c r="D49" s="48"/>
      <c r="E49" s="47" t="s">
        <v>16</v>
      </c>
      <c r="F49" s="48"/>
      <c r="G49" s="21">
        <v>2</v>
      </c>
      <c r="H49" s="21">
        <v>2</v>
      </c>
      <c r="I49" s="21">
        <v>2</v>
      </c>
      <c r="J49" s="21">
        <v>2</v>
      </c>
      <c r="K49" s="21">
        <v>2</v>
      </c>
      <c r="L49" s="21">
        <v>2</v>
      </c>
      <c r="M49" s="21">
        <v>2</v>
      </c>
      <c r="N49" s="21">
        <v>2</v>
      </c>
      <c r="O49" s="22">
        <v>2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</row>
    <row r="50" spans="1:29" x14ac:dyDescent="0.25">
      <c r="A50" s="45"/>
      <c r="B50" s="45"/>
      <c r="C50" s="47"/>
      <c r="D50" s="48"/>
      <c r="E50" s="47"/>
      <c r="F50" s="48"/>
      <c r="G50" s="21"/>
      <c r="H50" s="21"/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/>
    </row>
    <row r="51" spans="1:29" x14ac:dyDescent="0.25">
      <c r="A51" s="45"/>
      <c r="B51" s="45"/>
      <c r="C51" s="50" t="s">
        <v>212</v>
      </c>
      <c r="D51" s="48"/>
      <c r="E51" s="47" t="s">
        <v>16</v>
      </c>
      <c r="F51" s="48"/>
      <c r="G51" s="21">
        <v>2</v>
      </c>
      <c r="H51" s="21">
        <v>2</v>
      </c>
      <c r="I51" s="21">
        <v>2</v>
      </c>
      <c r="J51" s="21">
        <v>2</v>
      </c>
      <c r="K51" s="21">
        <v>2</v>
      </c>
      <c r="L51" s="21">
        <v>2</v>
      </c>
      <c r="M51" s="21">
        <v>2</v>
      </c>
      <c r="N51" s="21">
        <v>2</v>
      </c>
      <c r="O51" s="21">
        <v>2</v>
      </c>
      <c r="P51" s="22">
        <v>2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</row>
    <row r="52" spans="1:29" x14ac:dyDescent="0.25">
      <c r="A52" s="45"/>
      <c r="B52" s="45"/>
      <c r="C52" s="50" t="s">
        <v>213</v>
      </c>
      <c r="D52" s="48"/>
      <c r="E52" s="47" t="s">
        <v>14</v>
      </c>
      <c r="F52" s="48"/>
      <c r="G52" s="21">
        <v>3</v>
      </c>
      <c r="H52" s="21">
        <v>3</v>
      </c>
      <c r="I52" s="21">
        <v>3</v>
      </c>
      <c r="J52" s="21">
        <v>3</v>
      </c>
      <c r="K52" s="21">
        <v>3</v>
      </c>
      <c r="L52" s="21">
        <v>3</v>
      </c>
      <c r="M52" s="21">
        <v>3</v>
      </c>
      <c r="N52" s="21">
        <v>3</v>
      </c>
      <c r="O52" s="21">
        <v>3</v>
      </c>
      <c r="P52" s="22">
        <v>3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</row>
    <row r="53" spans="1:29" x14ac:dyDescent="0.25">
      <c r="A53" s="45"/>
      <c r="B53" s="45"/>
      <c r="C53" s="50" t="s">
        <v>214</v>
      </c>
      <c r="D53" s="48"/>
      <c r="E53" s="47" t="s">
        <v>14</v>
      </c>
      <c r="F53" s="48"/>
      <c r="G53" s="21">
        <v>4</v>
      </c>
      <c r="H53" s="21">
        <v>4</v>
      </c>
      <c r="I53" s="21">
        <v>4</v>
      </c>
      <c r="J53" s="21">
        <v>4</v>
      </c>
      <c r="K53" s="21">
        <v>4</v>
      </c>
      <c r="L53" s="21">
        <v>4</v>
      </c>
      <c r="M53" s="21">
        <v>4</v>
      </c>
      <c r="N53" s="21">
        <v>4</v>
      </c>
      <c r="O53" s="21">
        <v>4</v>
      </c>
      <c r="P53" s="22">
        <v>4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</row>
    <row r="54" spans="1:29" x14ac:dyDescent="0.25">
      <c r="A54" s="45"/>
      <c r="B54" s="45"/>
      <c r="C54" s="50" t="s">
        <v>215</v>
      </c>
      <c r="D54" s="48"/>
      <c r="E54" s="47" t="s">
        <v>14</v>
      </c>
      <c r="F54" s="48"/>
      <c r="G54" s="21">
        <v>5</v>
      </c>
      <c r="H54" s="21">
        <v>5</v>
      </c>
      <c r="I54" s="21">
        <v>5</v>
      </c>
      <c r="J54" s="21">
        <v>5</v>
      </c>
      <c r="K54" s="21">
        <v>5</v>
      </c>
      <c r="L54" s="21">
        <v>5</v>
      </c>
      <c r="M54" s="21">
        <v>5</v>
      </c>
      <c r="N54" s="21">
        <v>5</v>
      </c>
      <c r="O54" s="21">
        <v>5</v>
      </c>
      <c r="P54" s="22">
        <v>5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</row>
    <row r="55" spans="1:29" x14ac:dyDescent="0.25">
      <c r="A55" s="45"/>
      <c r="B55" s="45"/>
      <c r="C55" s="50" t="s">
        <v>216</v>
      </c>
      <c r="D55" s="48"/>
      <c r="E55" s="47" t="s">
        <v>14</v>
      </c>
      <c r="F55" s="48"/>
      <c r="G55" s="21">
        <v>6</v>
      </c>
      <c r="H55" s="21">
        <v>6</v>
      </c>
      <c r="I55" s="21">
        <v>6</v>
      </c>
      <c r="J55" s="21">
        <v>6</v>
      </c>
      <c r="K55" s="21">
        <v>6</v>
      </c>
      <c r="L55" s="21">
        <v>6</v>
      </c>
      <c r="M55" s="21">
        <v>6</v>
      </c>
      <c r="N55" s="21">
        <v>6</v>
      </c>
      <c r="O55" s="21">
        <v>6</v>
      </c>
      <c r="P55" s="22">
        <v>6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</row>
    <row r="56" spans="1:29" x14ac:dyDescent="0.25">
      <c r="A56" s="45"/>
      <c r="B56" s="45"/>
      <c r="C56" s="50" t="s">
        <v>217</v>
      </c>
      <c r="D56" s="48"/>
      <c r="E56" s="47" t="s">
        <v>15</v>
      </c>
      <c r="F56" s="48"/>
      <c r="G56" s="21">
        <v>3</v>
      </c>
      <c r="H56" s="21">
        <v>3</v>
      </c>
      <c r="I56" s="21">
        <v>3</v>
      </c>
      <c r="J56" s="21">
        <v>3</v>
      </c>
      <c r="K56" s="21">
        <v>3</v>
      </c>
      <c r="L56" s="21">
        <v>3</v>
      </c>
      <c r="M56" s="21">
        <v>3</v>
      </c>
      <c r="N56" s="21">
        <v>3</v>
      </c>
      <c r="O56" s="21">
        <v>3</v>
      </c>
      <c r="P56" s="21">
        <v>3</v>
      </c>
      <c r="Q56" s="22">
        <v>3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</row>
    <row r="57" spans="1:29" x14ac:dyDescent="0.25">
      <c r="A57" s="45"/>
      <c r="B57" s="45"/>
      <c r="C57" s="47"/>
      <c r="D57" s="48"/>
      <c r="E57" s="47"/>
      <c r="F57" s="48"/>
      <c r="G57" s="21"/>
      <c r="H57" s="21"/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/>
    </row>
    <row r="58" spans="1:29" x14ac:dyDescent="0.25">
      <c r="A58" s="45"/>
      <c r="B58" s="45"/>
      <c r="C58" s="50" t="s">
        <v>218</v>
      </c>
      <c r="D58" s="48"/>
      <c r="E58" s="47" t="s">
        <v>15</v>
      </c>
      <c r="F58" s="48"/>
      <c r="G58" s="21">
        <v>4</v>
      </c>
      <c r="H58" s="21">
        <v>4</v>
      </c>
      <c r="I58" s="21">
        <v>4</v>
      </c>
      <c r="J58" s="21">
        <v>4</v>
      </c>
      <c r="K58" s="21">
        <v>4</v>
      </c>
      <c r="L58" s="21">
        <v>4</v>
      </c>
      <c r="M58" s="21">
        <v>4</v>
      </c>
      <c r="N58" s="21">
        <v>4</v>
      </c>
      <c r="O58" s="21">
        <v>4</v>
      </c>
      <c r="P58" s="21">
        <v>4</v>
      </c>
      <c r="Q58" s="22">
        <v>4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</row>
    <row r="59" spans="1:29" x14ac:dyDescent="0.25">
      <c r="A59" s="45"/>
      <c r="B59" s="45"/>
      <c r="C59" s="50" t="s">
        <v>219</v>
      </c>
      <c r="D59" s="48"/>
      <c r="E59" s="47" t="s">
        <v>18</v>
      </c>
      <c r="F59" s="48"/>
      <c r="G59" s="21">
        <v>2</v>
      </c>
      <c r="H59" s="21">
        <v>2</v>
      </c>
      <c r="I59" s="21">
        <v>2</v>
      </c>
      <c r="J59" s="21">
        <v>2</v>
      </c>
      <c r="K59" s="21">
        <v>2</v>
      </c>
      <c r="L59" s="21">
        <v>2</v>
      </c>
      <c r="M59" s="21">
        <v>2</v>
      </c>
      <c r="N59" s="21">
        <v>2</v>
      </c>
      <c r="O59" s="21">
        <v>2</v>
      </c>
      <c r="P59" s="21">
        <v>2</v>
      </c>
      <c r="Q59" s="22">
        <v>2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</row>
    <row r="60" spans="1:29" x14ac:dyDescent="0.25">
      <c r="A60" s="45"/>
      <c r="B60" s="45"/>
      <c r="C60" s="50" t="s">
        <v>220</v>
      </c>
      <c r="D60" s="48"/>
      <c r="E60" s="47" t="s">
        <v>18</v>
      </c>
      <c r="F60" s="48"/>
      <c r="G60" s="21">
        <v>2</v>
      </c>
      <c r="H60" s="21">
        <v>2</v>
      </c>
      <c r="I60" s="21">
        <v>2</v>
      </c>
      <c r="J60" s="21">
        <v>2</v>
      </c>
      <c r="K60" s="21">
        <v>2</v>
      </c>
      <c r="L60" s="21">
        <v>2</v>
      </c>
      <c r="M60" s="21">
        <v>2</v>
      </c>
      <c r="N60" s="21">
        <v>2</v>
      </c>
      <c r="O60" s="21">
        <v>2</v>
      </c>
      <c r="P60" s="21">
        <v>2</v>
      </c>
      <c r="Q60" s="22">
        <v>2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</row>
    <row r="61" spans="1:29" x14ac:dyDescent="0.25">
      <c r="A61" s="45"/>
      <c r="B61" s="45"/>
      <c r="C61" s="47"/>
      <c r="D61" s="48"/>
      <c r="E61" s="47"/>
      <c r="F61" s="48"/>
      <c r="G61" s="21"/>
      <c r="H61" s="21"/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/>
    </row>
    <row r="62" spans="1:29" x14ac:dyDescent="0.25">
      <c r="A62" s="45"/>
      <c r="B62" s="45"/>
      <c r="C62" s="50" t="s">
        <v>221</v>
      </c>
      <c r="D62" s="48"/>
      <c r="E62" s="47" t="s">
        <v>18</v>
      </c>
      <c r="F62" s="48"/>
      <c r="G62" s="21">
        <v>1</v>
      </c>
      <c r="H62" s="21">
        <v>2</v>
      </c>
      <c r="I62" s="21">
        <v>1</v>
      </c>
      <c r="J62" s="21">
        <v>1</v>
      </c>
      <c r="K62" s="21">
        <v>1</v>
      </c>
      <c r="L62" s="21">
        <v>1</v>
      </c>
      <c r="M62" s="21">
        <v>1</v>
      </c>
      <c r="N62" s="21">
        <v>1</v>
      </c>
      <c r="O62" s="21">
        <v>1</v>
      </c>
      <c r="P62" s="21">
        <v>1</v>
      </c>
      <c r="Q62" s="23">
        <v>1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</row>
    <row r="63" spans="1:29" x14ac:dyDescent="0.25">
      <c r="A63" s="45"/>
      <c r="B63" s="45"/>
      <c r="C63" s="50" t="s">
        <v>222</v>
      </c>
      <c r="D63" s="48"/>
      <c r="E63" s="47" t="s">
        <v>18</v>
      </c>
      <c r="F63" s="48"/>
      <c r="G63" s="21">
        <v>2</v>
      </c>
      <c r="H63" s="21">
        <v>2</v>
      </c>
      <c r="I63" s="21">
        <v>2</v>
      </c>
      <c r="J63" s="21">
        <v>2</v>
      </c>
      <c r="K63" s="21">
        <v>2</v>
      </c>
      <c r="L63" s="21">
        <v>2</v>
      </c>
      <c r="M63" s="21">
        <v>2</v>
      </c>
      <c r="N63" s="21">
        <v>2</v>
      </c>
      <c r="O63" s="21">
        <v>2</v>
      </c>
      <c r="P63" s="21">
        <v>2</v>
      </c>
      <c r="Q63" s="21">
        <v>2</v>
      </c>
      <c r="R63" s="22">
        <v>2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</row>
    <row r="64" spans="1:29" x14ac:dyDescent="0.25">
      <c r="A64" s="45"/>
      <c r="B64" s="45"/>
      <c r="C64" s="50" t="s">
        <v>223</v>
      </c>
      <c r="D64" s="48"/>
      <c r="E64" s="47" t="s">
        <v>14</v>
      </c>
      <c r="F64" s="48"/>
      <c r="G64" s="21">
        <v>5</v>
      </c>
      <c r="H64" s="21">
        <v>5</v>
      </c>
      <c r="I64" s="21">
        <v>5</v>
      </c>
      <c r="J64" s="21">
        <v>5</v>
      </c>
      <c r="K64" s="21">
        <v>5</v>
      </c>
      <c r="L64" s="21">
        <v>5</v>
      </c>
      <c r="M64" s="21">
        <v>5</v>
      </c>
      <c r="N64" s="21">
        <v>5</v>
      </c>
      <c r="O64" s="21">
        <v>5</v>
      </c>
      <c r="P64" s="21">
        <v>5</v>
      </c>
      <c r="Q64" s="21">
        <v>5</v>
      </c>
      <c r="R64" s="22">
        <v>5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</row>
    <row r="65" spans="1:29" x14ac:dyDescent="0.25">
      <c r="A65" s="45"/>
      <c r="B65" s="45"/>
      <c r="C65" s="50" t="s">
        <v>224</v>
      </c>
      <c r="D65" s="48"/>
      <c r="E65" s="47" t="s">
        <v>14</v>
      </c>
      <c r="F65" s="48"/>
      <c r="G65" s="21">
        <v>6</v>
      </c>
      <c r="H65" s="21">
        <v>6</v>
      </c>
      <c r="I65" s="21">
        <v>6</v>
      </c>
      <c r="J65" s="21">
        <v>6</v>
      </c>
      <c r="K65" s="21">
        <v>6</v>
      </c>
      <c r="L65" s="21">
        <v>6</v>
      </c>
      <c r="M65" s="21">
        <v>6</v>
      </c>
      <c r="N65" s="21">
        <v>6</v>
      </c>
      <c r="O65" s="21">
        <v>6</v>
      </c>
      <c r="P65" s="21">
        <v>6</v>
      </c>
      <c r="Q65" s="21">
        <v>6</v>
      </c>
      <c r="R65" s="22">
        <v>6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</row>
    <row r="66" spans="1:29" x14ac:dyDescent="0.25">
      <c r="A66" s="45"/>
      <c r="B66" s="45"/>
      <c r="C66" s="50" t="s">
        <v>225</v>
      </c>
      <c r="D66" s="48"/>
      <c r="E66" s="47" t="s">
        <v>15</v>
      </c>
      <c r="F66" s="48"/>
      <c r="G66" s="21">
        <v>3</v>
      </c>
      <c r="H66" s="21">
        <v>3</v>
      </c>
      <c r="I66" s="21">
        <v>3</v>
      </c>
      <c r="J66" s="21">
        <v>3</v>
      </c>
      <c r="K66" s="21">
        <v>3</v>
      </c>
      <c r="L66" s="21">
        <v>3</v>
      </c>
      <c r="M66" s="21">
        <v>3</v>
      </c>
      <c r="N66" s="21">
        <v>3</v>
      </c>
      <c r="O66" s="21">
        <v>3</v>
      </c>
      <c r="P66" s="21">
        <v>3</v>
      </c>
      <c r="Q66" s="21">
        <v>3</v>
      </c>
      <c r="R66" s="21">
        <v>3</v>
      </c>
      <c r="S66" s="22">
        <v>3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</row>
    <row r="67" spans="1:29" x14ac:dyDescent="0.25">
      <c r="A67" s="45"/>
      <c r="B67" s="45"/>
      <c r="C67" s="50" t="s">
        <v>226</v>
      </c>
      <c r="D67" s="48"/>
      <c r="E67" s="47" t="s">
        <v>15</v>
      </c>
      <c r="F67" s="48"/>
      <c r="G67" s="21">
        <v>4</v>
      </c>
      <c r="H67" s="21">
        <v>4</v>
      </c>
      <c r="I67" s="21">
        <v>4</v>
      </c>
      <c r="J67" s="21">
        <v>4</v>
      </c>
      <c r="K67" s="21">
        <v>4</v>
      </c>
      <c r="L67" s="21">
        <v>4</v>
      </c>
      <c r="M67" s="21">
        <v>4</v>
      </c>
      <c r="N67" s="21">
        <v>4</v>
      </c>
      <c r="O67" s="21">
        <v>4</v>
      </c>
      <c r="P67" s="21">
        <v>4</v>
      </c>
      <c r="Q67" s="21">
        <v>4</v>
      </c>
      <c r="R67" s="21">
        <v>4</v>
      </c>
      <c r="S67" s="22">
        <v>4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</row>
    <row r="68" spans="1:29" x14ac:dyDescent="0.25">
      <c r="A68" s="45"/>
      <c r="B68" s="45"/>
      <c r="C68" s="50" t="s">
        <v>227</v>
      </c>
      <c r="D68" s="48"/>
      <c r="E68" s="47" t="s">
        <v>15</v>
      </c>
      <c r="F68" s="48"/>
      <c r="G68" s="21">
        <v>5</v>
      </c>
      <c r="H68" s="21">
        <v>5</v>
      </c>
      <c r="I68" s="21">
        <v>5</v>
      </c>
      <c r="J68" s="21">
        <v>5</v>
      </c>
      <c r="K68" s="21">
        <v>5</v>
      </c>
      <c r="L68" s="21">
        <v>5</v>
      </c>
      <c r="M68" s="21">
        <v>5</v>
      </c>
      <c r="N68" s="21">
        <v>5</v>
      </c>
      <c r="O68" s="21">
        <v>5</v>
      </c>
      <c r="P68" s="21">
        <v>5</v>
      </c>
      <c r="Q68" s="21">
        <v>5</v>
      </c>
      <c r="R68" s="21">
        <v>5</v>
      </c>
      <c r="S68" s="22">
        <v>5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</row>
    <row r="69" spans="1:29" x14ac:dyDescent="0.25">
      <c r="A69" s="45"/>
      <c r="B69" s="45"/>
      <c r="C69" s="50" t="s">
        <v>228</v>
      </c>
      <c r="D69" s="48"/>
      <c r="E69" s="47" t="s">
        <v>15</v>
      </c>
      <c r="F69" s="48"/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>
        <v>6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</row>
    <row r="70" spans="1:29" x14ac:dyDescent="0.25">
      <c r="A70" s="45"/>
      <c r="B70" s="45"/>
      <c r="C70" s="50" t="s">
        <v>67</v>
      </c>
      <c r="D70" s="48"/>
      <c r="E70" s="47" t="s">
        <v>68</v>
      </c>
      <c r="F70" s="48"/>
      <c r="G70" s="21">
        <v>11</v>
      </c>
      <c r="H70" s="21">
        <v>11</v>
      </c>
      <c r="I70" s="21">
        <v>11</v>
      </c>
      <c r="J70" s="21">
        <v>11</v>
      </c>
      <c r="K70" s="21">
        <v>11</v>
      </c>
      <c r="L70" s="21">
        <v>11</v>
      </c>
      <c r="M70" s="21">
        <v>11</v>
      </c>
      <c r="N70" s="21">
        <v>11</v>
      </c>
      <c r="O70" s="21">
        <v>11</v>
      </c>
      <c r="P70" s="21">
        <v>11</v>
      </c>
      <c r="Q70" s="21">
        <v>11</v>
      </c>
      <c r="R70" s="21">
        <v>11</v>
      </c>
      <c r="S70" s="21">
        <v>11</v>
      </c>
      <c r="T70" s="22">
        <v>11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</row>
    <row r="71" spans="1:29" x14ac:dyDescent="0.25">
      <c r="A71" s="45"/>
      <c r="B71" s="46"/>
      <c r="C71" s="47"/>
      <c r="D71" s="48"/>
      <c r="E71" s="47"/>
      <c r="F71" s="48"/>
      <c r="G71" s="21"/>
      <c r="H71" s="21"/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/>
    </row>
    <row r="72" spans="1:29" x14ac:dyDescent="0.25">
      <c r="A72" s="45"/>
      <c r="B72" s="65" t="s">
        <v>69</v>
      </c>
      <c r="C72" s="50" t="s">
        <v>229</v>
      </c>
      <c r="D72" s="48"/>
      <c r="E72" s="47" t="s">
        <v>15</v>
      </c>
      <c r="F72" s="48"/>
      <c r="G72" s="21">
        <v>2</v>
      </c>
      <c r="H72" s="21">
        <v>2</v>
      </c>
      <c r="I72" s="21">
        <v>2</v>
      </c>
      <c r="J72" s="21">
        <v>2</v>
      </c>
      <c r="K72" s="21">
        <v>2</v>
      </c>
      <c r="L72" s="21">
        <v>2</v>
      </c>
      <c r="M72" s="21">
        <v>2</v>
      </c>
      <c r="N72" s="21">
        <v>2</v>
      </c>
      <c r="O72" s="21">
        <v>2</v>
      </c>
      <c r="P72" s="21">
        <v>2</v>
      </c>
      <c r="Q72" s="21">
        <v>2</v>
      </c>
      <c r="R72" s="21">
        <v>2</v>
      </c>
      <c r="S72" s="21">
        <v>2</v>
      </c>
      <c r="T72" s="22">
        <v>2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</row>
    <row r="73" spans="1:29" x14ac:dyDescent="0.25">
      <c r="A73" s="45"/>
      <c r="B73" s="45"/>
      <c r="C73" s="50" t="s">
        <v>230</v>
      </c>
      <c r="D73" s="48"/>
      <c r="E73" s="47" t="s">
        <v>15</v>
      </c>
      <c r="F73" s="48"/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2">
        <v>1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</row>
    <row r="74" spans="1:29" x14ac:dyDescent="0.25">
      <c r="A74" s="45"/>
      <c r="B74" s="45"/>
      <c r="C74" s="50" t="s">
        <v>231</v>
      </c>
      <c r="D74" s="48"/>
      <c r="E74" s="47" t="s">
        <v>17</v>
      </c>
      <c r="F74" s="48"/>
      <c r="G74" s="21">
        <v>2</v>
      </c>
      <c r="H74" s="21">
        <v>2</v>
      </c>
      <c r="I74" s="21">
        <v>2</v>
      </c>
      <c r="J74" s="21">
        <v>2</v>
      </c>
      <c r="K74" s="21">
        <v>2</v>
      </c>
      <c r="L74" s="21">
        <v>2</v>
      </c>
      <c r="M74" s="21">
        <v>2</v>
      </c>
      <c r="N74" s="21">
        <v>2</v>
      </c>
      <c r="O74" s="21">
        <v>2</v>
      </c>
      <c r="P74" s="21">
        <v>2</v>
      </c>
      <c r="Q74" s="21">
        <v>2</v>
      </c>
      <c r="R74" s="21">
        <v>2</v>
      </c>
      <c r="S74" s="21">
        <v>2</v>
      </c>
      <c r="T74" s="22">
        <v>2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</row>
    <row r="75" spans="1:29" x14ac:dyDescent="0.25">
      <c r="A75" s="45"/>
      <c r="B75" s="45"/>
      <c r="C75" s="50" t="s">
        <v>232</v>
      </c>
      <c r="D75" s="48"/>
      <c r="E75" s="47" t="s">
        <v>18</v>
      </c>
      <c r="F75" s="48"/>
      <c r="G75" s="21">
        <v>4</v>
      </c>
      <c r="H75" s="21">
        <v>4</v>
      </c>
      <c r="I75" s="21">
        <v>4</v>
      </c>
      <c r="J75" s="21">
        <v>4</v>
      </c>
      <c r="K75" s="21">
        <v>4</v>
      </c>
      <c r="L75" s="21">
        <v>4</v>
      </c>
      <c r="M75" s="21">
        <v>4</v>
      </c>
      <c r="N75" s="21">
        <v>4</v>
      </c>
      <c r="O75" s="21">
        <v>4</v>
      </c>
      <c r="P75" s="21">
        <v>4</v>
      </c>
      <c r="Q75" s="21">
        <v>4</v>
      </c>
      <c r="R75" s="21">
        <v>4</v>
      </c>
      <c r="S75" s="21">
        <v>4</v>
      </c>
      <c r="T75" s="22">
        <v>4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</row>
    <row r="76" spans="1:29" x14ac:dyDescent="0.25">
      <c r="A76" s="45"/>
      <c r="B76" s="45"/>
      <c r="C76" s="50" t="s">
        <v>233</v>
      </c>
      <c r="D76" s="48"/>
      <c r="E76" s="47" t="s">
        <v>14</v>
      </c>
      <c r="F76" s="48"/>
      <c r="G76" s="21">
        <v>2</v>
      </c>
      <c r="H76" s="21">
        <v>2</v>
      </c>
      <c r="I76" s="21">
        <v>2</v>
      </c>
      <c r="J76" s="21">
        <v>2</v>
      </c>
      <c r="K76" s="21">
        <v>2</v>
      </c>
      <c r="L76" s="21">
        <v>2</v>
      </c>
      <c r="M76" s="21">
        <v>2</v>
      </c>
      <c r="N76" s="21">
        <v>2</v>
      </c>
      <c r="O76" s="21">
        <v>2</v>
      </c>
      <c r="P76" s="21">
        <v>2</v>
      </c>
      <c r="Q76" s="21">
        <v>2</v>
      </c>
      <c r="R76" s="21">
        <v>2</v>
      </c>
      <c r="S76" s="21">
        <v>2</v>
      </c>
      <c r="T76" s="21">
        <v>2</v>
      </c>
      <c r="U76" s="22">
        <v>2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</row>
    <row r="77" spans="1:29" x14ac:dyDescent="0.25">
      <c r="A77" s="45"/>
      <c r="B77" s="45"/>
      <c r="C77" s="50" t="s">
        <v>234</v>
      </c>
      <c r="D77" s="48"/>
      <c r="E77" s="47" t="s">
        <v>15</v>
      </c>
      <c r="F77" s="48"/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2">
        <v>1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</row>
    <row r="78" spans="1:29" x14ac:dyDescent="0.25">
      <c r="A78" s="45"/>
      <c r="B78" s="45"/>
      <c r="C78" s="50" t="s">
        <v>235</v>
      </c>
      <c r="D78" s="48"/>
      <c r="E78" s="66" t="s">
        <v>16</v>
      </c>
      <c r="F78" s="55"/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1">
        <v>1</v>
      </c>
      <c r="N78" s="21">
        <v>1</v>
      </c>
      <c r="O78" s="21">
        <v>1</v>
      </c>
      <c r="P78" s="21">
        <v>1</v>
      </c>
      <c r="Q78" s="21">
        <v>1</v>
      </c>
      <c r="R78" s="21">
        <v>1</v>
      </c>
      <c r="S78" s="21">
        <v>1</v>
      </c>
      <c r="T78" s="21">
        <v>1</v>
      </c>
      <c r="U78" s="22">
        <v>1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</row>
    <row r="79" spans="1:29" x14ac:dyDescent="0.25">
      <c r="A79" s="45"/>
      <c r="B79" s="45"/>
      <c r="C79" s="50" t="s">
        <v>236</v>
      </c>
      <c r="D79" s="48"/>
      <c r="E79" s="47" t="s">
        <v>18</v>
      </c>
      <c r="F79" s="48"/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2">
        <v>4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</row>
    <row r="80" spans="1:29" x14ac:dyDescent="0.25">
      <c r="A80" s="45"/>
      <c r="B80" s="45"/>
      <c r="C80" s="50" t="s">
        <v>237</v>
      </c>
      <c r="D80" s="48"/>
      <c r="E80" s="47" t="s">
        <v>14</v>
      </c>
      <c r="F80" s="48"/>
      <c r="G80" s="21">
        <v>2</v>
      </c>
      <c r="H80" s="21">
        <v>2</v>
      </c>
      <c r="I80" s="21">
        <v>2</v>
      </c>
      <c r="J80" s="21">
        <v>2</v>
      </c>
      <c r="K80" s="21">
        <v>2</v>
      </c>
      <c r="L80" s="21">
        <v>2</v>
      </c>
      <c r="M80" s="21">
        <v>2</v>
      </c>
      <c r="N80" s="21">
        <v>2</v>
      </c>
      <c r="O80" s="21">
        <v>2</v>
      </c>
      <c r="P80" s="21">
        <v>2</v>
      </c>
      <c r="Q80" s="21">
        <v>2</v>
      </c>
      <c r="R80" s="21">
        <v>2</v>
      </c>
      <c r="S80" s="21">
        <v>2</v>
      </c>
      <c r="T80" s="21">
        <v>2</v>
      </c>
      <c r="U80" s="21">
        <v>2</v>
      </c>
      <c r="V80" s="22">
        <v>2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</row>
    <row r="81" spans="1:29" x14ac:dyDescent="0.25">
      <c r="A81" s="45"/>
      <c r="B81" s="45"/>
      <c r="C81" s="50" t="s">
        <v>238</v>
      </c>
      <c r="D81" s="48"/>
      <c r="E81" s="66" t="s">
        <v>16</v>
      </c>
      <c r="F81" s="55"/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2">
        <v>4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</row>
    <row r="82" spans="1:29" x14ac:dyDescent="0.25">
      <c r="A82" s="45"/>
      <c r="B82" s="44" t="s">
        <v>78</v>
      </c>
      <c r="C82" s="50" t="s">
        <v>239</v>
      </c>
      <c r="D82" s="48"/>
      <c r="E82" s="47" t="s">
        <v>80</v>
      </c>
      <c r="F82" s="48"/>
      <c r="G82" s="21">
        <v>1</v>
      </c>
      <c r="H82" s="21">
        <v>1</v>
      </c>
      <c r="I82" s="21">
        <v>1</v>
      </c>
      <c r="J82" s="21">
        <v>1</v>
      </c>
      <c r="K82" s="21">
        <v>1</v>
      </c>
      <c r="L82" s="21">
        <v>1</v>
      </c>
      <c r="M82" s="21">
        <v>1</v>
      </c>
      <c r="N82" s="21">
        <v>1</v>
      </c>
      <c r="O82" s="21">
        <v>1</v>
      </c>
      <c r="P82" s="21">
        <v>1</v>
      </c>
      <c r="Q82" s="21">
        <v>1</v>
      </c>
      <c r="R82" s="21">
        <v>1</v>
      </c>
      <c r="S82" s="21">
        <v>1</v>
      </c>
      <c r="T82" s="21">
        <v>1</v>
      </c>
      <c r="U82" s="21">
        <v>1</v>
      </c>
      <c r="V82" s="22">
        <v>1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</row>
    <row r="83" spans="1:29" x14ac:dyDescent="0.25">
      <c r="A83" s="45"/>
      <c r="B83" s="45"/>
      <c r="C83" s="47"/>
      <c r="D83" s="48"/>
      <c r="E83" s="47"/>
      <c r="F83" s="48"/>
      <c r="G83" s="21"/>
      <c r="H83" s="21"/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/>
    </row>
    <row r="84" spans="1:29" x14ac:dyDescent="0.25">
      <c r="A84" s="45"/>
      <c r="B84" s="45"/>
      <c r="C84" s="50" t="s">
        <v>240</v>
      </c>
      <c r="D84" s="48"/>
      <c r="E84" s="47" t="s">
        <v>82</v>
      </c>
      <c r="F84" s="48"/>
      <c r="G84" s="21">
        <v>1</v>
      </c>
      <c r="H84" s="21">
        <v>1</v>
      </c>
      <c r="I84" s="21">
        <v>1</v>
      </c>
      <c r="J84" s="21">
        <v>1</v>
      </c>
      <c r="K84" s="21">
        <v>1</v>
      </c>
      <c r="L84" s="21">
        <v>1</v>
      </c>
      <c r="M84" s="21">
        <v>1</v>
      </c>
      <c r="N84" s="21">
        <v>1</v>
      </c>
      <c r="O84" s="21">
        <v>1</v>
      </c>
      <c r="P84" s="21">
        <v>1</v>
      </c>
      <c r="Q84" s="21">
        <v>1</v>
      </c>
      <c r="R84" s="21">
        <v>1</v>
      </c>
      <c r="S84" s="21">
        <v>1</v>
      </c>
      <c r="T84" s="21">
        <v>1</v>
      </c>
      <c r="U84" s="21">
        <v>1</v>
      </c>
      <c r="V84" s="22">
        <v>1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</row>
    <row r="85" spans="1:29" x14ac:dyDescent="0.25">
      <c r="A85" s="45"/>
      <c r="B85" s="45"/>
      <c r="C85" s="50" t="s">
        <v>241</v>
      </c>
      <c r="D85" s="48"/>
      <c r="E85" s="47" t="s">
        <v>168</v>
      </c>
      <c r="F85" s="48"/>
      <c r="G85" s="21">
        <v>1</v>
      </c>
      <c r="H85" s="21">
        <v>1</v>
      </c>
      <c r="I85" s="21">
        <v>1</v>
      </c>
      <c r="J85" s="21">
        <v>1</v>
      </c>
      <c r="K85" s="21">
        <v>1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1</v>
      </c>
      <c r="S85" s="21">
        <v>1</v>
      </c>
      <c r="T85" s="21">
        <v>1</v>
      </c>
      <c r="U85" s="21">
        <v>1</v>
      </c>
      <c r="V85" s="21">
        <v>1</v>
      </c>
      <c r="W85" s="22">
        <v>1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</row>
    <row r="86" spans="1:29" x14ac:dyDescent="0.25">
      <c r="A86" s="45"/>
      <c r="B86" s="45"/>
      <c r="C86" s="50" t="s">
        <v>242</v>
      </c>
      <c r="D86" s="48"/>
      <c r="E86" s="47" t="s">
        <v>243</v>
      </c>
      <c r="F86" s="48"/>
      <c r="G86" s="21">
        <v>2</v>
      </c>
      <c r="H86" s="21">
        <v>2</v>
      </c>
      <c r="I86" s="21">
        <v>2</v>
      </c>
      <c r="J86" s="21">
        <v>2</v>
      </c>
      <c r="K86" s="21">
        <v>2</v>
      </c>
      <c r="L86" s="21">
        <v>2</v>
      </c>
      <c r="M86" s="21">
        <v>2</v>
      </c>
      <c r="N86" s="21">
        <v>2</v>
      </c>
      <c r="O86" s="21">
        <v>2</v>
      </c>
      <c r="P86" s="21">
        <v>2</v>
      </c>
      <c r="Q86" s="21">
        <v>2</v>
      </c>
      <c r="R86" s="21">
        <v>2</v>
      </c>
      <c r="S86" s="21">
        <v>2</v>
      </c>
      <c r="T86" s="21">
        <v>2</v>
      </c>
      <c r="U86" s="21">
        <v>2</v>
      </c>
      <c r="V86" s="21">
        <v>2</v>
      </c>
      <c r="W86" s="22">
        <v>2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</row>
    <row r="87" spans="1:29" x14ac:dyDescent="0.25">
      <c r="A87" s="45"/>
      <c r="B87" s="45"/>
      <c r="C87" s="50" t="s">
        <v>244</v>
      </c>
      <c r="D87" s="48"/>
      <c r="E87" s="47" t="s">
        <v>86</v>
      </c>
      <c r="F87" s="48"/>
      <c r="G87" s="21">
        <v>1</v>
      </c>
      <c r="H87" s="21">
        <v>1</v>
      </c>
      <c r="I87" s="21">
        <v>1</v>
      </c>
      <c r="J87" s="21">
        <v>1</v>
      </c>
      <c r="K87" s="21">
        <v>1</v>
      </c>
      <c r="L87" s="21">
        <v>1</v>
      </c>
      <c r="M87" s="21">
        <v>1</v>
      </c>
      <c r="N87" s="21">
        <v>1</v>
      </c>
      <c r="O87" s="21">
        <v>1</v>
      </c>
      <c r="P87" s="21">
        <v>1</v>
      </c>
      <c r="Q87" s="21">
        <v>1</v>
      </c>
      <c r="R87" s="21">
        <v>1</v>
      </c>
      <c r="S87" s="21">
        <v>1</v>
      </c>
      <c r="T87" s="21">
        <v>1</v>
      </c>
      <c r="U87" s="21">
        <v>1</v>
      </c>
      <c r="V87" s="21">
        <v>1</v>
      </c>
      <c r="W87" s="22">
        <v>1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</row>
    <row r="88" spans="1:29" x14ac:dyDescent="0.25">
      <c r="A88" s="45"/>
      <c r="B88" s="45"/>
      <c r="C88" s="47"/>
      <c r="D88" s="48"/>
      <c r="E88" s="47"/>
      <c r="F88" s="48"/>
      <c r="G88" s="21"/>
      <c r="H88" s="21"/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/>
    </row>
    <row r="89" spans="1:29" x14ac:dyDescent="0.25">
      <c r="A89" s="45"/>
      <c r="B89" s="45"/>
      <c r="C89" s="54" t="s">
        <v>245</v>
      </c>
      <c r="D89" s="48"/>
      <c r="E89" s="47" t="s">
        <v>166</v>
      </c>
      <c r="F89" s="48"/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2">
        <v>1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</row>
    <row r="90" spans="1:29" x14ac:dyDescent="0.25">
      <c r="A90" s="45"/>
      <c r="B90" s="45"/>
      <c r="C90" s="54" t="s">
        <v>246</v>
      </c>
      <c r="D90" s="48"/>
      <c r="E90" s="47" t="s">
        <v>27</v>
      </c>
      <c r="F90" s="48"/>
      <c r="G90" s="21">
        <v>1</v>
      </c>
      <c r="H90" s="21">
        <v>1</v>
      </c>
      <c r="I90" s="21">
        <v>1</v>
      </c>
      <c r="J90" s="21">
        <v>1</v>
      </c>
      <c r="K90" s="21">
        <v>1</v>
      </c>
      <c r="L90" s="21">
        <v>1</v>
      </c>
      <c r="M90" s="21">
        <v>1</v>
      </c>
      <c r="N90" s="21">
        <v>1</v>
      </c>
      <c r="O90" s="21">
        <v>1</v>
      </c>
      <c r="P90" s="21">
        <v>1</v>
      </c>
      <c r="Q90" s="21">
        <v>1</v>
      </c>
      <c r="R90" s="21">
        <v>1</v>
      </c>
      <c r="S90" s="21">
        <v>1</v>
      </c>
      <c r="T90" s="21">
        <v>1</v>
      </c>
      <c r="U90" s="21">
        <v>1</v>
      </c>
      <c r="V90" s="21">
        <v>1</v>
      </c>
      <c r="W90" s="22">
        <v>1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</row>
    <row r="91" spans="1:29" x14ac:dyDescent="0.25">
      <c r="A91" s="45"/>
      <c r="B91" s="45"/>
      <c r="C91" s="54" t="s">
        <v>247</v>
      </c>
      <c r="D91" s="48"/>
      <c r="E91" s="47" t="s">
        <v>243</v>
      </c>
      <c r="F91" s="48"/>
      <c r="G91" s="21">
        <v>2</v>
      </c>
      <c r="H91" s="21">
        <v>2</v>
      </c>
      <c r="I91" s="21">
        <v>2</v>
      </c>
      <c r="J91" s="21">
        <v>2</v>
      </c>
      <c r="K91" s="21">
        <v>2</v>
      </c>
      <c r="L91" s="21">
        <v>2</v>
      </c>
      <c r="M91" s="21">
        <v>2</v>
      </c>
      <c r="N91" s="21">
        <v>2</v>
      </c>
      <c r="O91" s="21">
        <v>2</v>
      </c>
      <c r="P91" s="21">
        <v>2</v>
      </c>
      <c r="Q91" s="21">
        <v>2</v>
      </c>
      <c r="R91" s="21">
        <v>2</v>
      </c>
      <c r="S91" s="21">
        <v>2</v>
      </c>
      <c r="T91" s="21">
        <v>2</v>
      </c>
      <c r="U91" s="21">
        <v>2</v>
      </c>
      <c r="V91" s="21">
        <v>2</v>
      </c>
      <c r="W91" s="21">
        <v>2</v>
      </c>
      <c r="X91" s="22">
        <v>2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</row>
    <row r="92" spans="1:29" x14ac:dyDescent="0.25">
      <c r="A92" s="45"/>
      <c r="B92" s="45"/>
      <c r="C92" s="54" t="s">
        <v>248</v>
      </c>
      <c r="D92" s="48"/>
      <c r="E92" s="47" t="s">
        <v>86</v>
      </c>
      <c r="F92" s="48"/>
      <c r="G92" s="21">
        <v>1</v>
      </c>
      <c r="H92" s="21">
        <v>1</v>
      </c>
      <c r="I92" s="21">
        <v>1</v>
      </c>
      <c r="J92" s="21">
        <v>1</v>
      </c>
      <c r="K92" s="21">
        <v>1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1</v>
      </c>
      <c r="S92" s="21">
        <v>1</v>
      </c>
      <c r="T92" s="21">
        <v>1</v>
      </c>
      <c r="U92" s="21">
        <v>1</v>
      </c>
      <c r="V92" s="21">
        <v>1</v>
      </c>
      <c r="W92" s="21">
        <v>1</v>
      </c>
      <c r="X92" s="22">
        <v>1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</row>
    <row r="93" spans="1:29" x14ac:dyDescent="0.25">
      <c r="A93" s="45"/>
      <c r="B93" s="46"/>
      <c r="C93" s="54" t="s">
        <v>249</v>
      </c>
      <c r="D93" s="48"/>
      <c r="E93" s="47" t="s">
        <v>250</v>
      </c>
      <c r="F93" s="48"/>
      <c r="G93" s="21">
        <v>2</v>
      </c>
      <c r="H93" s="21">
        <v>2</v>
      </c>
      <c r="I93" s="21">
        <v>2</v>
      </c>
      <c r="J93" s="21">
        <v>2</v>
      </c>
      <c r="K93" s="21">
        <v>2</v>
      </c>
      <c r="L93" s="21">
        <v>2</v>
      </c>
      <c r="M93" s="21">
        <v>2</v>
      </c>
      <c r="N93" s="21">
        <v>2</v>
      </c>
      <c r="O93" s="21">
        <v>2</v>
      </c>
      <c r="P93" s="21">
        <v>2</v>
      </c>
      <c r="Q93" s="21">
        <v>2</v>
      </c>
      <c r="R93" s="21">
        <v>2</v>
      </c>
      <c r="S93" s="21">
        <v>2</v>
      </c>
      <c r="T93" s="21">
        <v>2</v>
      </c>
      <c r="U93" s="21">
        <v>2</v>
      </c>
      <c r="V93" s="21">
        <v>2</v>
      </c>
      <c r="W93" s="21">
        <v>2</v>
      </c>
      <c r="X93" s="22">
        <v>2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</row>
    <row r="94" spans="1:29" x14ac:dyDescent="0.25">
      <c r="A94" s="45"/>
      <c r="B94" s="44" t="s">
        <v>92</v>
      </c>
      <c r="C94" s="50" t="s">
        <v>251</v>
      </c>
      <c r="D94" s="48"/>
      <c r="E94" s="51" t="s">
        <v>15</v>
      </c>
      <c r="F94" s="48"/>
      <c r="G94" s="21">
        <v>1</v>
      </c>
      <c r="H94" s="21">
        <v>1</v>
      </c>
      <c r="I94" s="21">
        <v>1</v>
      </c>
      <c r="J94" s="21">
        <v>1</v>
      </c>
      <c r="K94" s="21">
        <v>1</v>
      </c>
      <c r="L94" s="21">
        <v>1</v>
      </c>
      <c r="M94" s="21">
        <v>1</v>
      </c>
      <c r="N94" s="21">
        <v>1</v>
      </c>
      <c r="O94" s="21">
        <v>1</v>
      </c>
      <c r="P94" s="21">
        <v>1</v>
      </c>
      <c r="Q94" s="21">
        <v>1</v>
      </c>
      <c r="R94" s="21">
        <v>1</v>
      </c>
      <c r="S94" s="21">
        <v>1</v>
      </c>
      <c r="T94" s="21">
        <v>1</v>
      </c>
      <c r="U94" s="21">
        <v>1</v>
      </c>
      <c r="V94" s="21">
        <v>1</v>
      </c>
      <c r="W94" s="21">
        <v>1</v>
      </c>
      <c r="X94" s="22">
        <v>1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</row>
    <row r="95" spans="1:29" x14ac:dyDescent="0.25">
      <c r="A95" s="45"/>
      <c r="B95" s="45"/>
      <c r="C95" s="50" t="s">
        <v>252</v>
      </c>
      <c r="D95" s="48"/>
      <c r="E95" s="51" t="s">
        <v>15</v>
      </c>
      <c r="F95" s="48"/>
      <c r="G95" s="21">
        <v>1</v>
      </c>
      <c r="H95" s="21">
        <v>1</v>
      </c>
      <c r="I95" s="21">
        <v>1</v>
      </c>
      <c r="J95" s="21">
        <v>1</v>
      </c>
      <c r="K95" s="21">
        <v>1</v>
      </c>
      <c r="L95" s="21">
        <v>1</v>
      </c>
      <c r="M95" s="21">
        <v>1</v>
      </c>
      <c r="N95" s="21">
        <v>1</v>
      </c>
      <c r="O95" s="21">
        <v>1</v>
      </c>
      <c r="P95" s="21">
        <v>1</v>
      </c>
      <c r="Q95" s="21">
        <v>1</v>
      </c>
      <c r="R95" s="21">
        <v>1</v>
      </c>
      <c r="S95" s="21">
        <v>1</v>
      </c>
      <c r="T95" s="21">
        <v>1</v>
      </c>
      <c r="U95" s="21">
        <v>1</v>
      </c>
      <c r="V95" s="21">
        <v>1</v>
      </c>
      <c r="W95" s="21">
        <v>1</v>
      </c>
      <c r="X95" s="21">
        <v>1</v>
      </c>
      <c r="Y95" s="22">
        <v>1</v>
      </c>
      <c r="Z95" s="21">
        <v>0</v>
      </c>
      <c r="AA95" s="21">
        <v>0</v>
      </c>
      <c r="AB95" s="21">
        <v>0</v>
      </c>
      <c r="AC95" s="21">
        <v>0</v>
      </c>
    </row>
    <row r="96" spans="1:29" x14ac:dyDescent="0.25">
      <c r="A96" s="45"/>
      <c r="B96" s="45"/>
      <c r="C96" s="47"/>
      <c r="D96" s="48"/>
      <c r="E96" s="51"/>
      <c r="F96" s="48"/>
      <c r="G96" s="21"/>
      <c r="H96" s="21"/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/>
    </row>
    <row r="97" spans="1:29" x14ac:dyDescent="0.25">
      <c r="A97" s="45"/>
      <c r="B97" s="45"/>
      <c r="C97" s="50" t="s">
        <v>253</v>
      </c>
      <c r="D97" s="48"/>
      <c r="E97" s="51" t="s">
        <v>17</v>
      </c>
      <c r="F97" s="48"/>
      <c r="G97" s="21">
        <v>1</v>
      </c>
      <c r="H97" s="21">
        <v>1</v>
      </c>
      <c r="I97" s="21">
        <v>1</v>
      </c>
      <c r="J97" s="21">
        <v>1</v>
      </c>
      <c r="K97" s="21">
        <v>1</v>
      </c>
      <c r="L97" s="21">
        <v>1</v>
      </c>
      <c r="M97" s="21">
        <v>1</v>
      </c>
      <c r="N97" s="21">
        <v>1</v>
      </c>
      <c r="O97" s="21">
        <v>1</v>
      </c>
      <c r="P97" s="21">
        <v>1</v>
      </c>
      <c r="Q97" s="21">
        <v>1</v>
      </c>
      <c r="R97" s="21">
        <v>1</v>
      </c>
      <c r="S97" s="21">
        <v>1</v>
      </c>
      <c r="T97" s="21">
        <v>1</v>
      </c>
      <c r="U97" s="21">
        <v>1</v>
      </c>
      <c r="V97" s="21">
        <v>1</v>
      </c>
      <c r="W97" s="21">
        <v>1</v>
      </c>
      <c r="X97" s="21">
        <v>1</v>
      </c>
      <c r="Y97" s="22">
        <v>1</v>
      </c>
      <c r="Z97" s="21">
        <v>0</v>
      </c>
      <c r="AA97" s="21">
        <v>0</v>
      </c>
      <c r="AB97" s="21">
        <v>0</v>
      </c>
      <c r="AC97" s="21">
        <v>0</v>
      </c>
    </row>
    <row r="98" spans="1:29" x14ac:dyDescent="0.25">
      <c r="A98" s="45"/>
      <c r="B98" s="45"/>
      <c r="C98" s="50" t="s">
        <v>254</v>
      </c>
      <c r="D98" s="48"/>
      <c r="E98" s="51" t="s">
        <v>18</v>
      </c>
      <c r="F98" s="48"/>
      <c r="G98" s="21">
        <v>2</v>
      </c>
      <c r="H98" s="21">
        <v>2</v>
      </c>
      <c r="I98" s="21">
        <v>2</v>
      </c>
      <c r="J98" s="21">
        <v>2</v>
      </c>
      <c r="K98" s="21">
        <v>2</v>
      </c>
      <c r="L98" s="21">
        <v>2</v>
      </c>
      <c r="M98" s="21">
        <v>2</v>
      </c>
      <c r="N98" s="21">
        <v>2</v>
      </c>
      <c r="O98" s="21">
        <v>2</v>
      </c>
      <c r="P98" s="21">
        <v>2</v>
      </c>
      <c r="Q98" s="21">
        <v>2</v>
      </c>
      <c r="R98" s="21">
        <v>2</v>
      </c>
      <c r="S98" s="21">
        <v>2</v>
      </c>
      <c r="T98" s="21">
        <v>2</v>
      </c>
      <c r="U98" s="21">
        <v>2</v>
      </c>
      <c r="V98" s="21">
        <v>2</v>
      </c>
      <c r="W98" s="21">
        <v>2</v>
      </c>
      <c r="X98" s="21">
        <v>2</v>
      </c>
      <c r="Y98" s="22">
        <v>2</v>
      </c>
      <c r="Z98" s="21">
        <v>0</v>
      </c>
      <c r="AA98" s="21">
        <v>0</v>
      </c>
      <c r="AB98" s="21">
        <v>0</v>
      </c>
      <c r="AC98" s="21">
        <v>0</v>
      </c>
    </row>
    <row r="99" spans="1:29" x14ac:dyDescent="0.25">
      <c r="A99" s="45"/>
      <c r="B99" s="45"/>
      <c r="C99" s="50" t="s">
        <v>255</v>
      </c>
      <c r="D99" s="48"/>
      <c r="E99" s="51" t="s">
        <v>14</v>
      </c>
      <c r="F99" s="48"/>
      <c r="G99" s="21">
        <v>1</v>
      </c>
      <c r="H99" s="21">
        <v>1</v>
      </c>
      <c r="I99" s="21">
        <v>1</v>
      </c>
      <c r="J99" s="21">
        <v>1</v>
      </c>
      <c r="K99" s="21">
        <v>1</v>
      </c>
      <c r="L99" s="21">
        <v>1</v>
      </c>
      <c r="M99" s="21">
        <v>1</v>
      </c>
      <c r="N99" s="21">
        <v>1</v>
      </c>
      <c r="O99" s="21">
        <v>1</v>
      </c>
      <c r="P99" s="21">
        <v>1</v>
      </c>
      <c r="Q99" s="21">
        <v>1</v>
      </c>
      <c r="R99" s="21">
        <v>1</v>
      </c>
      <c r="S99" s="21">
        <v>1</v>
      </c>
      <c r="T99" s="21">
        <v>1</v>
      </c>
      <c r="U99" s="21">
        <v>1</v>
      </c>
      <c r="V99" s="21">
        <v>1</v>
      </c>
      <c r="W99" s="21">
        <v>1</v>
      </c>
      <c r="X99" s="21">
        <v>1</v>
      </c>
      <c r="Y99" s="22">
        <v>1</v>
      </c>
      <c r="Z99" s="21">
        <v>0</v>
      </c>
      <c r="AA99" s="21">
        <v>0</v>
      </c>
      <c r="AB99" s="21">
        <v>0</v>
      </c>
      <c r="AC99" s="21">
        <v>0</v>
      </c>
    </row>
    <row r="100" spans="1:29" x14ac:dyDescent="0.25">
      <c r="A100" s="45"/>
      <c r="B100" s="45"/>
      <c r="C100" s="47"/>
      <c r="D100" s="48"/>
      <c r="E100" s="51"/>
      <c r="F100" s="48"/>
      <c r="G100" s="21"/>
      <c r="H100" s="21"/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/>
    </row>
    <row r="101" spans="1:29" x14ac:dyDescent="0.25">
      <c r="A101" s="45"/>
      <c r="B101" s="45"/>
      <c r="C101" s="50" t="s">
        <v>256</v>
      </c>
      <c r="D101" s="48"/>
      <c r="E101" s="51" t="s">
        <v>15</v>
      </c>
      <c r="F101" s="48"/>
      <c r="G101" s="21">
        <v>1</v>
      </c>
      <c r="H101" s="21">
        <v>1</v>
      </c>
      <c r="I101" s="21">
        <v>1</v>
      </c>
      <c r="J101" s="21">
        <v>1</v>
      </c>
      <c r="K101" s="21">
        <v>1</v>
      </c>
      <c r="L101" s="21">
        <v>1</v>
      </c>
      <c r="M101" s="21">
        <v>1</v>
      </c>
      <c r="N101" s="21">
        <v>1</v>
      </c>
      <c r="O101" s="21">
        <v>1</v>
      </c>
      <c r="P101" s="21">
        <v>1</v>
      </c>
      <c r="Q101" s="21">
        <v>1</v>
      </c>
      <c r="R101" s="21">
        <v>1</v>
      </c>
      <c r="S101" s="21">
        <v>1</v>
      </c>
      <c r="T101" s="21">
        <v>1</v>
      </c>
      <c r="U101" s="21">
        <v>1</v>
      </c>
      <c r="V101" s="21">
        <v>1</v>
      </c>
      <c r="W101" s="21">
        <v>1</v>
      </c>
      <c r="X101" s="21">
        <v>1</v>
      </c>
      <c r="Y101" s="21">
        <v>1</v>
      </c>
      <c r="Z101" s="22">
        <v>1</v>
      </c>
      <c r="AA101" s="21">
        <v>0</v>
      </c>
      <c r="AB101" s="21">
        <v>0</v>
      </c>
      <c r="AC101" s="21">
        <v>0</v>
      </c>
    </row>
    <row r="102" spans="1:29" x14ac:dyDescent="0.25">
      <c r="A102" s="45"/>
      <c r="B102" s="45"/>
      <c r="C102" s="50" t="s">
        <v>257</v>
      </c>
      <c r="D102" s="48"/>
      <c r="E102" s="51" t="s">
        <v>16</v>
      </c>
      <c r="F102" s="48"/>
      <c r="G102" s="21">
        <v>1</v>
      </c>
      <c r="H102" s="21">
        <v>1</v>
      </c>
      <c r="I102" s="21">
        <v>1</v>
      </c>
      <c r="J102" s="21">
        <v>1</v>
      </c>
      <c r="K102" s="21">
        <v>1</v>
      </c>
      <c r="L102" s="21">
        <v>1</v>
      </c>
      <c r="M102" s="21">
        <v>1</v>
      </c>
      <c r="N102" s="21">
        <v>1</v>
      </c>
      <c r="O102" s="21">
        <v>1</v>
      </c>
      <c r="P102" s="21">
        <v>1</v>
      </c>
      <c r="Q102" s="21">
        <v>1</v>
      </c>
      <c r="R102" s="21">
        <v>1</v>
      </c>
      <c r="S102" s="21">
        <v>1</v>
      </c>
      <c r="T102" s="21">
        <v>1</v>
      </c>
      <c r="U102" s="21">
        <v>1</v>
      </c>
      <c r="V102" s="21">
        <v>1</v>
      </c>
      <c r="W102" s="21">
        <v>1</v>
      </c>
      <c r="X102" s="21">
        <v>1</v>
      </c>
      <c r="Y102" s="21">
        <v>1</v>
      </c>
      <c r="Z102" s="22">
        <v>1</v>
      </c>
      <c r="AA102" s="21">
        <v>0</v>
      </c>
      <c r="AB102" s="21">
        <v>0</v>
      </c>
      <c r="AC102" s="21">
        <v>0</v>
      </c>
    </row>
    <row r="103" spans="1:29" x14ac:dyDescent="0.25">
      <c r="A103" s="45"/>
      <c r="B103" s="45"/>
      <c r="C103" s="50" t="s">
        <v>258</v>
      </c>
      <c r="D103" s="48"/>
      <c r="E103" s="51" t="s">
        <v>18</v>
      </c>
      <c r="F103" s="48"/>
      <c r="G103" s="21">
        <v>2</v>
      </c>
      <c r="H103" s="21">
        <v>2</v>
      </c>
      <c r="I103" s="21">
        <v>2</v>
      </c>
      <c r="J103" s="21">
        <v>2</v>
      </c>
      <c r="K103" s="21">
        <v>2</v>
      </c>
      <c r="L103" s="21">
        <v>2</v>
      </c>
      <c r="M103" s="21">
        <v>2</v>
      </c>
      <c r="N103" s="21">
        <v>2</v>
      </c>
      <c r="O103" s="21">
        <v>2</v>
      </c>
      <c r="P103" s="21">
        <v>2</v>
      </c>
      <c r="Q103" s="21">
        <v>2</v>
      </c>
      <c r="R103" s="21">
        <v>2</v>
      </c>
      <c r="S103" s="21">
        <v>2</v>
      </c>
      <c r="T103" s="21">
        <v>2</v>
      </c>
      <c r="U103" s="21">
        <v>2</v>
      </c>
      <c r="V103" s="21">
        <v>2</v>
      </c>
      <c r="W103" s="21">
        <v>2</v>
      </c>
      <c r="X103" s="21">
        <v>2</v>
      </c>
      <c r="Y103" s="21">
        <v>2</v>
      </c>
      <c r="Z103" s="22">
        <v>2</v>
      </c>
      <c r="AA103" s="21">
        <v>0</v>
      </c>
      <c r="AB103" s="21">
        <v>0</v>
      </c>
      <c r="AC103" s="21">
        <v>0</v>
      </c>
    </row>
    <row r="104" spans="1:29" x14ac:dyDescent="0.25">
      <c r="A104" s="45"/>
      <c r="B104" s="45"/>
      <c r="C104" s="50" t="s">
        <v>259</v>
      </c>
      <c r="D104" s="48"/>
      <c r="E104" s="51" t="s">
        <v>14</v>
      </c>
      <c r="F104" s="48"/>
      <c r="G104" s="21">
        <v>1</v>
      </c>
      <c r="H104" s="21">
        <v>1</v>
      </c>
      <c r="I104" s="21">
        <v>1</v>
      </c>
      <c r="J104" s="21">
        <v>1</v>
      </c>
      <c r="K104" s="21">
        <v>1</v>
      </c>
      <c r="L104" s="21">
        <v>1</v>
      </c>
      <c r="M104" s="21">
        <v>1</v>
      </c>
      <c r="N104" s="21">
        <v>1</v>
      </c>
      <c r="O104" s="21">
        <v>1</v>
      </c>
      <c r="P104" s="21">
        <v>1</v>
      </c>
      <c r="Q104" s="21">
        <v>1</v>
      </c>
      <c r="R104" s="21">
        <v>1</v>
      </c>
      <c r="S104" s="21">
        <v>1</v>
      </c>
      <c r="T104" s="21">
        <v>1</v>
      </c>
      <c r="U104" s="21">
        <v>1</v>
      </c>
      <c r="V104" s="21">
        <v>1</v>
      </c>
      <c r="W104" s="21">
        <v>1</v>
      </c>
      <c r="X104" s="21">
        <v>1</v>
      </c>
      <c r="Y104" s="21">
        <v>1</v>
      </c>
      <c r="Z104" s="22">
        <v>1</v>
      </c>
      <c r="AA104" s="21">
        <v>0</v>
      </c>
      <c r="AB104" s="21">
        <v>0</v>
      </c>
      <c r="AC104" s="21">
        <v>0</v>
      </c>
    </row>
    <row r="105" spans="1:29" x14ac:dyDescent="0.25">
      <c r="A105" s="45"/>
      <c r="B105" s="46"/>
      <c r="C105" s="50" t="s">
        <v>260</v>
      </c>
      <c r="D105" s="48"/>
      <c r="E105" s="51" t="s">
        <v>16</v>
      </c>
      <c r="F105" s="48"/>
      <c r="G105" s="21">
        <v>2</v>
      </c>
      <c r="H105" s="21">
        <v>2</v>
      </c>
      <c r="I105" s="21">
        <v>2</v>
      </c>
      <c r="J105" s="21">
        <v>2</v>
      </c>
      <c r="K105" s="21">
        <v>2</v>
      </c>
      <c r="L105" s="21">
        <v>2</v>
      </c>
      <c r="M105" s="21">
        <v>2</v>
      </c>
      <c r="N105" s="21">
        <v>2</v>
      </c>
      <c r="O105" s="21">
        <v>2</v>
      </c>
      <c r="P105" s="21">
        <v>2</v>
      </c>
      <c r="Q105" s="21">
        <v>2</v>
      </c>
      <c r="R105" s="21">
        <v>2</v>
      </c>
      <c r="S105" s="21">
        <v>2</v>
      </c>
      <c r="T105" s="21">
        <v>2</v>
      </c>
      <c r="U105" s="21">
        <v>2</v>
      </c>
      <c r="V105" s="21">
        <v>2</v>
      </c>
      <c r="W105" s="21">
        <v>2</v>
      </c>
      <c r="X105" s="21">
        <v>2</v>
      </c>
      <c r="Y105" s="21">
        <v>2</v>
      </c>
      <c r="Z105" s="21">
        <v>2</v>
      </c>
      <c r="AA105" s="22">
        <v>2</v>
      </c>
      <c r="AB105" s="21">
        <v>0</v>
      </c>
      <c r="AC105" s="21">
        <v>0</v>
      </c>
    </row>
    <row r="106" spans="1:29" x14ac:dyDescent="0.25">
      <c r="A106" s="45"/>
      <c r="B106" s="44" t="s">
        <v>261</v>
      </c>
      <c r="C106" s="50" t="s">
        <v>262</v>
      </c>
      <c r="D106" s="48"/>
      <c r="E106" s="47" t="s">
        <v>25</v>
      </c>
      <c r="F106" s="48"/>
      <c r="G106" s="21">
        <v>5</v>
      </c>
      <c r="H106" s="21">
        <v>5</v>
      </c>
      <c r="I106" s="21">
        <v>5</v>
      </c>
      <c r="J106" s="21">
        <v>5</v>
      </c>
      <c r="K106" s="21">
        <v>5</v>
      </c>
      <c r="L106" s="21">
        <v>5</v>
      </c>
      <c r="M106" s="21">
        <v>5</v>
      </c>
      <c r="N106" s="21">
        <v>5</v>
      </c>
      <c r="O106" s="21">
        <v>5</v>
      </c>
      <c r="P106" s="21">
        <v>5</v>
      </c>
      <c r="Q106" s="21">
        <v>5</v>
      </c>
      <c r="R106" s="21">
        <v>5</v>
      </c>
      <c r="S106" s="21">
        <v>5</v>
      </c>
      <c r="T106" s="21">
        <v>5</v>
      </c>
      <c r="U106" s="21">
        <v>5</v>
      </c>
      <c r="V106" s="21">
        <v>5</v>
      </c>
      <c r="W106" s="21">
        <v>5</v>
      </c>
      <c r="X106" s="21">
        <v>5</v>
      </c>
      <c r="Y106" s="21">
        <v>5</v>
      </c>
      <c r="Z106" s="21">
        <v>5</v>
      </c>
      <c r="AA106" s="22">
        <v>5</v>
      </c>
      <c r="AB106" s="21">
        <v>0</v>
      </c>
      <c r="AC106" s="22">
        <v>0</v>
      </c>
    </row>
    <row r="107" spans="1:29" x14ac:dyDescent="0.25">
      <c r="A107" s="45"/>
      <c r="B107" s="46"/>
      <c r="C107" s="50" t="s">
        <v>263</v>
      </c>
      <c r="D107" s="48"/>
      <c r="E107" s="47" t="s">
        <v>25</v>
      </c>
      <c r="F107" s="48"/>
      <c r="G107" s="21">
        <v>5</v>
      </c>
      <c r="H107" s="21">
        <v>5</v>
      </c>
      <c r="I107" s="21">
        <v>5</v>
      </c>
      <c r="J107" s="21">
        <v>5</v>
      </c>
      <c r="K107" s="21">
        <v>5</v>
      </c>
      <c r="L107" s="21">
        <v>5</v>
      </c>
      <c r="M107" s="21">
        <v>5</v>
      </c>
      <c r="N107" s="21">
        <v>5</v>
      </c>
      <c r="O107" s="21">
        <v>5</v>
      </c>
      <c r="P107" s="21">
        <v>5</v>
      </c>
      <c r="Q107" s="21">
        <v>5</v>
      </c>
      <c r="R107" s="21">
        <v>5</v>
      </c>
      <c r="S107" s="21">
        <v>5</v>
      </c>
      <c r="T107" s="21">
        <v>5</v>
      </c>
      <c r="U107" s="21">
        <v>5</v>
      </c>
      <c r="V107" s="21">
        <v>5</v>
      </c>
      <c r="W107" s="21">
        <v>5</v>
      </c>
      <c r="X107" s="21">
        <v>5</v>
      </c>
      <c r="Y107" s="21">
        <v>5</v>
      </c>
      <c r="Z107" s="21">
        <v>5</v>
      </c>
      <c r="AA107" s="22">
        <v>5</v>
      </c>
      <c r="AB107" s="21">
        <v>0</v>
      </c>
      <c r="AC107" s="22">
        <v>0</v>
      </c>
    </row>
    <row r="108" spans="1:29" x14ac:dyDescent="0.25">
      <c r="A108" s="45"/>
      <c r="B108" s="38" t="s">
        <v>19</v>
      </c>
      <c r="C108" s="39"/>
      <c r="D108" s="40"/>
      <c r="E108" s="56" t="s">
        <v>12</v>
      </c>
      <c r="F108" s="48"/>
      <c r="G108" s="47">
        <v>215</v>
      </c>
      <c r="H108" s="48"/>
      <c r="I108" s="21">
        <v>215</v>
      </c>
      <c r="J108" s="21">
        <v>197</v>
      </c>
      <c r="K108" s="21">
        <v>192</v>
      </c>
      <c r="L108" s="21">
        <v>185</v>
      </c>
      <c r="M108" s="21">
        <v>180</v>
      </c>
      <c r="N108" s="21">
        <v>165</v>
      </c>
      <c r="O108" s="21">
        <v>155</v>
      </c>
      <c r="P108" s="21">
        <v>133</v>
      </c>
      <c r="Q108" s="21">
        <v>113</v>
      </c>
      <c r="R108" s="21">
        <v>101</v>
      </c>
      <c r="S108" s="21">
        <v>88</v>
      </c>
      <c r="T108" s="21">
        <v>70</v>
      </c>
      <c r="U108" s="21">
        <v>50</v>
      </c>
      <c r="V108" s="21">
        <v>42</v>
      </c>
      <c r="W108" s="21">
        <v>34</v>
      </c>
      <c r="X108" s="21">
        <v>28</v>
      </c>
      <c r="Y108" s="21">
        <v>22</v>
      </c>
      <c r="Z108" s="21">
        <v>17</v>
      </c>
      <c r="AA108" s="21">
        <v>12</v>
      </c>
      <c r="AB108" s="21"/>
      <c r="AC108" s="21">
        <f>SUM(AC16:AC107)</f>
        <v>0</v>
      </c>
    </row>
    <row r="109" spans="1:29" x14ac:dyDescent="0.25">
      <c r="A109" s="46"/>
      <c r="B109" s="41"/>
      <c r="C109" s="42"/>
      <c r="D109" s="43"/>
      <c r="E109" s="56" t="s">
        <v>13</v>
      </c>
      <c r="F109" s="48"/>
      <c r="G109" s="47">
        <v>211</v>
      </c>
      <c r="H109" s="48"/>
      <c r="I109" s="21">
        <v>211</v>
      </c>
      <c r="J109" s="21">
        <v>193</v>
      </c>
      <c r="K109" s="21">
        <v>186</v>
      </c>
      <c r="L109" s="21">
        <v>180</v>
      </c>
      <c r="M109" s="21">
        <v>165</v>
      </c>
      <c r="N109" s="21">
        <v>159</v>
      </c>
      <c r="O109" s="21">
        <v>153</v>
      </c>
      <c r="P109" s="21">
        <v>134</v>
      </c>
      <c r="Q109" s="21">
        <v>114</v>
      </c>
      <c r="R109" s="21">
        <v>103</v>
      </c>
      <c r="S109" s="21">
        <v>88</v>
      </c>
      <c r="T109" s="21">
        <v>70</v>
      </c>
      <c r="U109" s="21">
        <v>50</v>
      </c>
      <c r="V109" s="21">
        <v>42</v>
      </c>
      <c r="W109" s="21">
        <v>34</v>
      </c>
      <c r="X109" s="21">
        <v>28</v>
      </c>
      <c r="Y109" s="21">
        <v>22</v>
      </c>
      <c r="Z109" s="21">
        <v>17</v>
      </c>
      <c r="AA109" s="21">
        <v>12</v>
      </c>
      <c r="AB109" s="21"/>
      <c r="AC109" s="21">
        <f>SUM(AC16:AC107)</f>
        <v>0</v>
      </c>
    </row>
  </sheetData>
  <mergeCells count="205">
    <mergeCell ref="A2:B2"/>
    <mergeCell ref="E30:F30"/>
    <mergeCell ref="B34:B46"/>
    <mergeCell ref="E45:F45"/>
    <mergeCell ref="C52:D52"/>
    <mergeCell ref="C39:D39"/>
    <mergeCell ref="B16:D16"/>
    <mergeCell ref="G109:H109"/>
    <mergeCell ref="C72:D72"/>
    <mergeCell ref="C81:D81"/>
    <mergeCell ref="C37:D37"/>
    <mergeCell ref="B18:D18"/>
    <mergeCell ref="E37:F37"/>
    <mergeCell ref="E97:F97"/>
    <mergeCell ref="C96:D96"/>
    <mergeCell ref="C78:D78"/>
    <mergeCell ref="E109:F109"/>
    <mergeCell ref="E47:F47"/>
    <mergeCell ref="C87:D87"/>
    <mergeCell ref="E17:F17"/>
    <mergeCell ref="C26:D26"/>
    <mergeCell ref="E88:F88"/>
    <mergeCell ref="E82:F82"/>
    <mergeCell ref="C35:D35"/>
    <mergeCell ref="E35:F35"/>
    <mergeCell ref="C25:D25"/>
    <mergeCell ref="C103:D103"/>
    <mergeCell ref="E19:F19"/>
    <mergeCell ref="C55:D55"/>
    <mergeCell ref="C99:D99"/>
    <mergeCell ref="E28:F28"/>
    <mergeCell ref="E60:F60"/>
    <mergeCell ref="E74:F74"/>
    <mergeCell ref="C33:D33"/>
    <mergeCell ref="E106:F106"/>
    <mergeCell ref="C104:D104"/>
    <mergeCell ref="E33:F33"/>
    <mergeCell ref="E98:F98"/>
    <mergeCell ref="C42:D42"/>
    <mergeCell ref="E42:F42"/>
    <mergeCell ref="C74:D74"/>
    <mergeCell ref="C88:D88"/>
    <mergeCell ref="A3:B3"/>
    <mergeCell ref="E31:F31"/>
    <mergeCell ref="E78:F78"/>
    <mergeCell ref="C59:D59"/>
    <mergeCell ref="E59:F59"/>
    <mergeCell ref="C46:D46"/>
    <mergeCell ref="C21:D21"/>
    <mergeCell ref="E77:F77"/>
    <mergeCell ref="E46:F46"/>
    <mergeCell ref="E15:F15"/>
    <mergeCell ref="C51:D51"/>
    <mergeCell ref="C61:D61"/>
    <mergeCell ref="E61:F61"/>
    <mergeCell ref="C70:D70"/>
    <mergeCell ref="C48:D48"/>
    <mergeCell ref="C23:D23"/>
    <mergeCell ref="E70:F70"/>
    <mergeCell ref="E57:F57"/>
    <mergeCell ref="A4:B4"/>
    <mergeCell ref="C32:D32"/>
    <mergeCell ref="C38:D38"/>
    <mergeCell ref="E54:F54"/>
    <mergeCell ref="E32:F32"/>
    <mergeCell ref="E21:F21"/>
    <mergeCell ref="A1:B1"/>
    <mergeCell ref="E52:F52"/>
    <mergeCell ref="E92:F92"/>
    <mergeCell ref="E39:F39"/>
    <mergeCell ref="E44:F44"/>
    <mergeCell ref="C20:D20"/>
    <mergeCell ref="E107:F107"/>
    <mergeCell ref="E20:F20"/>
    <mergeCell ref="C29:D29"/>
    <mergeCell ref="C85:D85"/>
    <mergeCell ref="C100:D100"/>
    <mergeCell ref="E29:F29"/>
    <mergeCell ref="C94:D94"/>
    <mergeCell ref="C65:D65"/>
    <mergeCell ref="E94:F94"/>
    <mergeCell ref="E103:F103"/>
    <mergeCell ref="C84:D84"/>
    <mergeCell ref="C75:D75"/>
    <mergeCell ref="C22:D22"/>
    <mergeCell ref="E84:F84"/>
    <mergeCell ref="C44:D44"/>
    <mergeCell ref="E69:F69"/>
    <mergeCell ref="C80:D80"/>
    <mergeCell ref="C31:D31"/>
    <mergeCell ref="B108:D109"/>
    <mergeCell ref="C77:D77"/>
    <mergeCell ref="E50:F50"/>
    <mergeCell ref="C34:D34"/>
    <mergeCell ref="C86:D86"/>
    <mergeCell ref="C68:D68"/>
    <mergeCell ref="E68:F68"/>
    <mergeCell ref="B6:E6"/>
    <mergeCell ref="C58:D58"/>
    <mergeCell ref="E83:F83"/>
    <mergeCell ref="E86:F86"/>
    <mergeCell ref="C95:D95"/>
    <mergeCell ref="E108:F108"/>
    <mergeCell ref="E95:F95"/>
    <mergeCell ref="E80:F80"/>
    <mergeCell ref="E89:F89"/>
    <mergeCell ref="C106:D106"/>
    <mergeCell ref="E72:F72"/>
    <mergeCell ref="E41:F41"/>
    <mergeCell ref="E81:F81"/>
    <mergeCell ref="E56:F56"/>
    <mergeCell ref="E96:F96"/>
    <mergeCell ref="C49:D49"/>
    <mergeCell ref="E43:F43"/>
    <mergeCell ref="B72:B81"/>
    <mergeCell ref="C40:D40"/>
    <mergeCell ref="E40:F40"/>
    <mergeCell ref="C90:D90"/>
    <mergeCell ref="B47:B71"/>
    <mergeCell ref="C60:D60"/>
    <mergeCell ref="E90:F90"/>
    <mergeCell ref="E104:F104"/>
    <mergeCell ref="C71:D71"/>
    <mergeCell ref="C91:D91"/>
    <mergeCell ref="C82:D82"/>
    <mergeCell ref="E76:F76"/>
    <mergeCell ref="C57:D57"/>
    <mergeCell ref="C66:D66"/>
    <mergeCell ref="E66:F66"/>
    <mergeCell ref="C53:D53"/>
    <mergeCell ref="C102:D102"/>
    <mergeCell ref="E58:F58"/>
    <mergeCell ref="C101:D101"/>
    <mergeCell ref="G108:H108"/>
    <mergeCell ref="C76:D76"/>
    <mergeCell ref="E49:F49"/>
    <mergeCell ref="C27:D27"/>
    <mergeCell ref="E27:F27"/>
    <mergeCell ref="C36:D36"/>
    <mergeCell ref="E36:F36"/>
    <mergeCell ref="E101:F101"/>
    <mergeCell ref="E91:F91"/>
    <mergeCell ref="E85:F85"/>
    <mergeCell ref="E100:F100"/>
    <mergeCell ref="C67:D67"/>
    <mergeCell ref="E75:F75"/>
    <mergeCell ref="C28:D28"/>
    <mergeCell ref="E53:F53"/>
    <mergeCell ref="E93:F93"/>
    <mergeCell ref="E102:F102"/>
    <mergeCell ref="C69:D69"/>
    <mergeCell ref="C83:D83"/>
    <mergeCell ref="C92:D92"/>
    <mergeCell ref="C30:D30"/>
    <mergeCell ref="E55:F55"/>
    <mergeCell ref="E67:F67"/>
    <mergeCell ref="C45:D45"/>
    <mergeCell ref="A16:A109"/>
    <mergeCell ref="E63:F63"/>
    <mergeCell ref="C41:D41"/>
    <mergeCell ref="C93:D93"/>
    <mergeCell ref="C50:D50"/>
    <mergeCell ref="C56:D56"/>
    <mergeCell ref="E65:F65"/>
    <mergeCell ref="C105:D105"/>
    <mergeCell ref="B13:C13"/>
    <mergeCell ref="E34:F34"/>
    <mergeCell ref="E105:F105"/>
    <mergeCell ref="C43:D43"/>
    <mergeCell ref="E99:F99"/>
    <mergeCell ref="B82:B93"/>
    <mergeCell ref="E22:F22"/>
    <mergeCell ref="B106:B107"/>
    <mergeCell ref="B17:D17"/>
    <mergeCell ref="C97:D97"/>
    <mergeCell ref="E48:F48"/>
    <mergeCell ref="B20:B33"/>
    <mergeCell ref="B19:D19"/>
    <mergeCell ref="E38:F38"/>
    <mergeCell ref="C47:D47"/>
    <mergeCell ref="B94:B105"/>
    <mergeCell ref="C62:D62"/>
    <mergeCell ref="E62:F62"/>
    <mergeCell ref="C15:D15"/>
    <mergeCell ref="C98:D98"/>
    <mergeCell ref="E71:F71"/>
    <mergeCell ref="C107:D107"/>
    <mergeCell ref="E23:F23"/>
    <mergeCell ref="C89:D89"/>
    <mergeCell ref="C64:D64"/>
    <mergeCell ref="C79:D79"/>
    <mergeCell ref="E64:F64"/>
    <mergeCell ref="E79:F79"/>
    <mergeCell ref="C73:D73"/>
    <mergeCell ref="E73:F73"/>
    <mergeCell ref="E51:F51"/>
    <mergeCell ref="E87:F87"/>
    <mergeCell ref="C54:D54"/>
    <mergeCell ref="C63:D63"/>
    <mergeCell ref="E26:F26"/>
    <mergeCell ref="E16:F16"/>
    <mergeCell ref="E25:F25"/>
    <mergeCell ref="E18:F18"/>
    <mergeCell ref="C24:D24"/>
    <mergeCell ref="E24:F24"/>
  </mergeCells>
  <pageMargins left="0.7" right="0.7" top="0.75" bottom="0.75" header="0.3" footer="0.3"/>
  <pageSetup orientation="portrait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workbookViewId="0">
      <selection activeCell="B7" sqref="B7"/>
    </sheetView>
  </sheetViews>
  <sheetFormatPr defaultRowHeight="15" x14ac:dyDescent="0.25"/>
  <cols>
    <col min="2" max="11" width="10" customWidth="1"/>
  </cols>
  <sheetData>
    <row r="1" spans="1:11" ht="16.899999999999999" customHeight="1" x14ac:dyDescent="0.25">
      <c r="A1" s="72" t="s">
        <v>264</v>
      </c>
      <c r="B1" s="73"/>
      <c r="C1" s="73"/>
      <c r="D1" s="73"/>
      <c r="E1" s="73"/>
      <c r="F1" s="73"/>
      <c r="G1" s="73"/>
      <c r="H1" s="73"/>
      <c r="I1" s="73"/>
      <c r="J1" s="73"/>
      <c r="K1" s="74"/>
    </row>
    <row r="2" spans="1:11" ht="16.899999999999999" customHeight="1" x14ac:dyDescent="0.25">
      <c r="A2" s="70"/>
      <c r="B2" s="67" t="s">
        <v>14</v>
      </c>
      <c r="C2" s="48"/>
      <c r="D2" s="67" t="s">
        <v>15</v>
      </c>
      <c r="E2" s="48"/>
      <c r="F2" s="67" t="s">
        <v>16</v>
      </c>
      <c r="G2" s="48"/>
      <c r="H2" s="67" t="s">
        <v>17</v>
      </c>
      <c r="I2" s="48"/>
      <c r="J2" s="67" t="s">
        <v>18</v>
      </c>
      <c r="K2" s="48"/>
    </row>
    <row r="3" spans="1:11" ht="16.899999999999999" customHeight="1" x14ac:dyDescent="0.25">
      <c r="A3" s="71"/>
      <c r="B3" s="26" t="s">
        <v>12</v>
      </c>
      <c r="C3" s="26" t="s">
        <v>13</v>
      </c>
      <c r="D3" s="26" t="s">
        <v>12</v>
      </c>
      <c r="E3" s="26" t="s">
        <v>13</v>
      </c>
      <c r="F3" s="26" t="s">
        <v>12</v>
      </c>
      <c r="G3" s="26" t="s">
        <v>13</v>
      </c>
      <c r="H3" s="26" t="s">
        <v>12</v>
      </c>
      <c r="I3" s="26" t="s">
        <v>13</v>
      </c>
      <c r="J3" s="26" t="s">
        <v>12</v>
      </c>
      <c r="K3" s="27" t="s">
        <v>13</v>
      </c>
    </row>
    <row r="4" spans="1:11" ht="16.899999999999999" customHeight="1" x14ac:dyDescent="0.25">
      <c r="A4" s="30" t="s">
        <v>4</v>
      </c>
      <c r="B4" s="28">
        <v>22.6</v>
      </c>
      <c r="C4" s="28">
        <v>23</v>
      </c>
      <c r="D4" s="28">
        <v>39.1</v>
      </c>
      <c r="E4" s="28">
        <v>39.5</v>
      </c>
      <c r="F4" s="28">
        <v>25.1</v>
      </c>
      <c r="G4" s="28">
        <v>25.5</v>
      </c>
      <c r="H4" s="28">
        <v>28.6</v>
      </c>
      <c r="I4" s="28">
        <v>29</v>
      </c>
      <c r="J4" s="28">
        <v>30.6</v>
      </c>
      <c r="K4" s="28">
        <v>32</v>
      </c>
    </row>
    <row r="5" spans="1:11" ht="16.899999999999999" customHeight="1" x14ac:dyDescent="0.25">
      <c r="A5" s="30" t="s">
        <v>105</v>
      </c>
      <c r="B5" s="28">
        <v>52.2</v>
      </c>
      <c r="C5" s="28">
        <v>50.6</v>
      </c>
      <c r="D5" s="28">
        <v>22.2</v>
      </c>
      <c r="E5" s="28">
        <v>22.6</v>
      </c>
      <c r="F5" s="28">
        <v>20.2</v>
      </c>
      <c r="G5" s="28">
        <v>20.6</v>
      </c>
      <c r="H5" s="28">
        <v>49.7</v>
      </c>
      <c r="I5" s="28">
        <v>50.1</v>
      </c>
      <c r="J5" s="28">
        <v>36.700000000000003</v>
      </c>
      <c r="K5" s="28">
        <v>40.1</v>
      </c>
    </row>
    <row r="6" spans="1:11" ht="16.899999999999999" customHeight="1" x14ac:dyDescent="0.25">
      <c r="A6" s="30" t="s">
        <v>183</v>
      </c>
      <c r="B6" s="28">
        <v>69.8</v>
      </c>
      <c r="C6" s="28">
        <v>66.2</v>
      </c>
      <c r="D6" s="28">
        <v>56.3</v>
      </c>
      <c r="E6" s="28">
        <v>54.7</v>
      </c>
      <c r="F6" s="28">
        <v>29.8</v>
      </c>
      <c r="G6" s="28">
        <v>30.2</v>
      </c>
      <c r="H6" s="28">
        <v>17.3</v>
      </c>
      <c r="I6" s="28">
        <v>16.7</v>
      </c>
      <c r="J6" s="28">
        <v>41.8</v>
      </c>
      <c r="K6" s="28">
        <v>43.2</v>
      </c>
    </row>
    <row r="7" spans="1:11" ht="17.45" customHeight="1" thickBot="1" x14ac:dyDescent="0.3">
      <c r="A7" s="31" t="s">
        <v>19</v>
      </c>
      <c r="B7" s="29">
        <v>144.6</v>
      </c>
      <c r="C7" s="29">
        <v>139.80000000000001</v>
      </c>
      <c r="D7" s="29">
        <v>117.6</v>
      </c>
      <c r="E7" s="29">
        <v>116.8</v>
      </c>
      <c r="F7" s="29">
        <v>75.099999999999994</v>
      </c>
      <c r="G7" s="29">
        <v>76.3</v>
      </c>
      <c r="H7" s="29">
        <v>95.6</v>
      </c>
      <c r="I7" s="29">
        <v>95.8</v>
      </c>
      <c r="J7" s="29">
        <v>109.1</v>
      </c>
      <c r="K7" s="29">
        <v>115.3</v>
      </c>
    </row>
    <row r="9" spans="1:11" ht="15" customHeight="1" thickBot="1" x14ac:dyDescent="0.3"/>
    <row r="10" spans="1:11" ht="16.899999999999999" customHeight="1" x14ac:dyDescent="0.25">
      <c r="E10" s="68" t="s">
        <v>265</v>
      </c>
      <c r="F10" s="69"/>
    </row>
    <row r="11" spans="1:11" ht="16.899999999999999" customHeight="1" x14ac:dyDescent="0.25">
      <c r="E11" s="32" t="s">
        <v>12</v>
      </c>
      <c r="F11" s="33">
        <v>542</v>
      </c>
    </row>
    <row r="12" spans="1:11" ht="17.45" customHeight="1" thickBot="1" x14ac:dyDescent="0.3">
      <c r="E12" s="34" t="s">
        <v>13</v>
      </c>
      <c r="F12" s="35">
        <v>544</v>
      </c>
    </row>
  </sheetData>
  <mergeCells count="8">
    <mergeCell ref="J2:K2"/>
    <mergeCell ref="A2:A3"/>
    <mergeCell ref="A1:K1"/>
    <mergeCell ref="F2:G2"/>
    <mergeCell ref="B2:C2"/>
    <mergeCell ref="H2:I2"/>
    <mergeCell ref="D2:E2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Tính Trần Lê Đức</cp:lastModifiedBy>
  <dcterms:created xsi:type="dcterms:W3CDTF">2021-04-23T08:05:10Z</dcterms:created>
  <dcterms:modified xsi:type="dcterms:W3CDTF">2026-05-13T17:42:08Z</dcterms:modified>
</cp:coreProperties>
</file>